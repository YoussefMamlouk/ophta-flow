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4.xml" ContentType="application/vnd.openxmlformats-officedocument.drawing+xml"/>
  <Override PartName="/xl/charts/chart3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oussefmamlouk/Documents/ophtaflow/"/>
    </mc:Choice>
  </mc:AlternateContent>
  <xr:revisionPtr revIDLastSave="0" documentId="13_ncr:1_{0259EACD-2DF7-0449-B26D-E6232AE52859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donnée" sheetId="1" r:id="rId1"/>
    <sheet name=" selon formule" sheetId="7" r:id="rId2"/>
    <sheet name=" selon Dptr et formule" sheetId="8" r:id="rId3"/>
    <sheet name=" typ oeil  formulle" sheetId="11" r:id="rId4"/>
    <sheet name="type oeil formule 2" sheetId="13" r:id="rId5"/>
    <sheet name="ANTECEDANT" sheetId="15" r:id="rId6"/>
  </sheets>
  <definedNames>
    <definedName name="_xlnm._FilterDatabase" localSheetId="0" hidden="1">donnée!$A$2:$DA$667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3" l="1"/>
  <c r="P25" i="13"/>
  <c r="W25" i="13"/>
  <c r="AD25" i="13"/>
  <c r="AK25" i="13"/>
  <c r="AR25" i="13"/>
  <c r="I26" i="13"/>
  <c r="P26" i="13"/>
  <c r="W26" i="13"/>
  <c r="AD26" i="13"/>
  <c r="AK26" i="13"/>
  <c r="AR26" i="13"/>
  <c r="I27" i="13"/>
  <c r="P27" i="13"/>
  <c r="W27" i="13"/>
  <c r="AD27" i="13"/>
  <c r="AK27" i="13"/>
  <c r="AR27" i="13"/>
  <c r="I28" i="13"/>
  <c r="P28" i="13"/>
  <c r="W28" i="13"/>
  <c r="AD28" i="13"/>
  <c r="AK28" i="13"/>
  <c r="AR28" i="13"/>
  <c r="I29" i="13"/>
  <c r="P29" i="13"/>
  <c r="W29" i="13"/>
  <c r="AD29" i="13"/>
  <c r="AK29" i="13"/>
  <c r="AR29" i="13"/>
  <c r="I30" i="13"/>
  <c r="P30" i="13"/>
  <c r="W30" i="13"/>
  <c r="AD30" i="13"/>
  <c r="AK30" i="13"/>
  <c r="AR30" i="13"/>
  <c r="I31" i="13"/>
  <c r="P31" i="13"/>
  <c r="W31" i="13"/>
  <c r="AD31" i="13"/>
  <c r="AK31" i="13"/>
  <c r="AR31" i="13"/>
  <c r="I32" i="13"/>
  <c r="P32" i="13"/>
  <c r="W32" i="13"/>
  <c r="AD32" i="13"/>
  <c r="AK32" i="13"/>
  <c r="AR32" i="13"/>
  <c r="W4" i="13"/>
  <c r="W5" i="13"/>
  <c r="W6" i="13"/>
  <c r="W7" i="13"/>
  <c r="W8" i="13"/>
  <c r="W9" i="13"/>
  <c r="W10" i="13"/>
  <c r="W11" i="13"/>
  <c r="W12" i="13"/>
  <c r="W24" i="13"/>
  <c r="I24" i="13"/>
  <c r="P24" i="13"/>
  <c r="AD24" i="13"/>
  <c r="AK24" i="13"/>
  <c r="AR24" i="13"/>
  <c r="I15" i="13"/>
  <c r="P15" i="13"/>
  <c r="AC15" i="13"/>
  <c r="AD15" i="13"/>
  <c r="AK15" i="13"/>
  <c r="AR15" i="13"/>
  <c r="I16" i="13"/>
  <c r="P16" i="13"/>
  <c r="AC16" i="13"/>
  <c r="AD16" i="13"/>
  <c r="AK16" i="13"/>
  <c r="AR16" i="13"/>
  <c r="I17" i="13"/>
  <c r="P17" i="13"/>
  <c r="AC17" i="13"/>
  <c r="AD17" i="13"/>
  <c r="AK17" i="13"/>
  <c r="AR17" i="13"/>
  <c r="I18" i="13"/>
  <c r="P18" i="13"/>
  <c r="AC18" i="13"/>
  <c r="AD18" i="13"/>
  <c r="AK18" i="13"/>
  <c r="AR18" i="13"/>
  <c r="I19" i="13"/>
  <c r="P19" i="13"/>
  <c r="AC19" i="13"/>
  <c r="AD19" i="13"/>
  <c r="AK19" i="13"/>
  <c r="AR19" i="13"/>
  <c r="I20" i="13"/>
  <c r="P20" i="13"/>
  <c r="AC20" i="13"/>
  <c r="AD20" i="13"/>
  <c r="AK20" i="13"/>
  <c r="AR20" i="13"/>
  <c r="I21" i="13"/>
  <c r="P21" i="13"/>
  <c r="AC21" i="13"/>
  <c r="AD21" i="13"/>
  <c r="AK21" i="13"/>
  <c r="AR21" i="13"/>
  <c r="I22" i="13"/>
  <c r="P22" i="13"/>
  <c r="AC22" i="13"/>
  <c r="AD22" i="13"/>
  <c r="AK22" i="13"/>
  <c r="AR22" i="13"/>
  <c r="I14" i="13"/>
  <c r="P14" i="13"/>
  <c r="AC14" i="13"/>
  <c r="AD14" i="13"/>
  <c r="AK14" i="13"/>
  <c r="AR14" i="13"/>
  <c r="I5" i="13"/>
  <c r="P5" i="13"/>
  <c r="AC5" i="13"/>
  <c r="AD5" i="13"/>
  <c r="AI5" i="13"/>
  <c r="AJ5" i="13"/>
  <c r="AK5" i="13"/>
  <c r="AP5" i="13"/>
  <c r="AQ5" i="13"/>
  <c r="AR5" i="13"/>
  <c r="I6" i="13"/>
  <c r="P6" i="13"/>
  <c r="AC6" i="13"/>
  <c r="AD6" i="13"/>
  <c r="AI6" i="13"/>
  <c r="AJ6" i="13"/>
  <c r="AK6" i="13"/>
  <c r="AP6" i="13"/>
  <c r="AQ6" i="13"/>
  <c r="AR6" i="13"/>
  <c r="I7" i="13"/>
  <c r="P7" i="13"/>
  <c r="AC7" i="13"/>
  <c r="AD7" i="13"/>
  <c r="AI7" i="13"/>
  <c r="AJ7" i="13"/>
  <c r="AK7" i="13"/>
  <c r="AP7" i="13"/>
  <c r="AQ7" i="13"/>
  <c r="AR7" i="13"/>
  <c r="I8" i="13"/>
  <c r="P8" i="13"/>
  <c r="AC8" i="13"/>
  <c r="AD8" i="13"/>
  <c r="AI8" i="13"/>
  <c r="AJ8" i="13"/>
  <c r="AK8" i="13"/>
  <c r="AP8" i="13"/>
  <c r="AQ8" i="13"/>
  <c r="AR8" i="13"/>
  <c r="I9" i="13"/>
  <c r="P9" i="13"/>
  <c r="AC9" i="13"/>
  <c r="AD9" i="13"/>
  <c r="AI9" i="13"/>
  <c r="AJ9" i="13"/>
  <c r="AK9" i="13"/>
  <c r="AP9" i="13"/>
  <c r="AQ9" i="13"/>
  <c r="AR9" i="13"/>
  <c r="I10" i="13"/>
  <c r="P10" i="13"/>
  <c r="AC10" i="13"/>
  <c r="AD10" i="13"/>
  <c r="AI10" i="13"/>
  <c r="AJ10" i="13"/>
  <c r="AK10" i="13"/>
  <c r="AP10" i="13"/>
  <c r="AQ10" i="13"/>
  <c r="AR10" i="13"/>
  <c r="I11" i="13"/>
  <c r="P11" i="13"/>
  <c r="AC11" i="13"/>
  <c r="AD11" i="13"/>
  <c r="AI11" i="13"/>
  <c r="AJ11" i="13"/>
  <c r="AK11" i="13"/>
  <c r="AP11" i="13"/>
  <c r="AQ11" i="13"/>
  <c r="AR11" i="13"/>
  <c r="I12" i="13"/>
  <c r="P12" i="13"/>
  <c r="AC12" i="13"/>
  <c r="AD12" i="13"/>
  <c r="AI12" i="13"/>
  <c r="AJ12" i="13"/>
  <c r="AK12" i="13"/>
  <c r="AP12" i="13"/>
  <c r="AQ12" i="13"/>
  <c r="AR12" i="13"/>
  <c r="I4" i="13"/>
  <c r="P4" i="13"/>
  <c r="AC4" i="13"/>
  <c r="AD4" i="13"/>
  <c r="AI4" i="13"/>
  <c r="AJ4" i="13"/>
  <c r="AK4" i="13"/>
  <c r="AP4" i="13"/>
  <c r="AQ4" i="13"/>
  <c r="AR4" i="13"/>
  <c r="F10" i="7"/>
  <c r="F9" i="7"/>
  <c r="F8" i="7"/>
  <c r="F7" i="7"/>
  <c r="F6" i="7"/>
  <c r="F5" i="7"/>
  <c r="F4" i="7"/>
  <c r="F3" i="7" l="1"/>
  <c r="F2" i="7"/>
  <c r="F1" i="7"/>
  <c r="O10" i="11" l="1"/>
  <c r="O10" i="13" s="1"/>
  <c r="DA75" i="1" l="1"/>
  <c r="DA76" i="1"/>
  <c r="DA77" i="1"/>
  <c r="DA78" i="1"/>
  <c r="DA79" i="1"/>
  <c r="DA80" i="1"/>
  <c r="DA81" i="1"/>
  <c r="DA82" i="1"/>
  <c r="DA83" i="1"/>
  <c r="DA84" i="1"/>
  <c r="DA85" i="1"/>
  <c r="DA86" i="1"/>
  <c r="DA87" i="1"/>
  <c r="DA88" i="1"/>
  <c r="DA89" i="1"/>
  <c r="DA90" i="1"/>
  <c r="DA91" i="1"/>
  <c r="DA92" i="1"/>
  <c r="DA93" i="1"/>
  <c r="DA94" i="1"/>
  <c r="DA95" i="1"/>
  <c r="DA96" i="1"/>
  <c r="DA97" i="1"/>
  <c r="DA98" i="1"/>
  <c r="DA99" i="1"/>
  <c r="DA100" i="1"/>
  <c r="DA101" i="1"/>
  <c r="DA102" i="1"/>
  <c r="DA103" i="1"/>
  <c r="DA104" i="1"/>
  <c r="DA105" i="1"/>
  <c r="DA106" i="1"/>
  <c r="DA107" i="1"/>
  <c r="DA108" i="1"/>
  <c r="DA109" i="1"/>
  <c r="DA110" i="1"/>
  <c r="DA111" i="1"/>
  <c r="DA112" i="1"/>
  <c r="DA113" i="1"/>
  <c r="DA114" i="1"/>
  <c r="DA115" i="1"/>
  <c r="DA116" i="1"/>
  <c r="DA117" i="1"/>
  <c r="DA118" i="1"/>
  <c r="DA119" i="1"/>
  <c r="DA120" i="1"/>
  <c r="DA121" i="1"/>
  <c r="DA122" i="1"/>
  <c r="DA123" i="1"/>
  <c r="DA124" i="1"/>
  <c r="DA125" i="1"/>
  <c r="DA126" i="1"/>
  <c r="DA127" i="1"/>
  <c r="DA128" i="1"/>
  <c r="DA129" i="1"/>
  <c r="DA130" i="1"/>
  <c r="DA131" i="1"/>
  <c r="DA132" i="1"/>
  <c r="DA133" i="1"/>
  <c r="DA134" i="1"/>
  <c r="DA135" i="1"/>
  <c r="DA136" i="1"/>
  <c r="DA137" i="1"/>
  <c r="DA138" i="1"/>
  <c r="DA139" i="1"/>
  <c r="DA140" i="1"/>
  <c r="DA141" i="1"/>
  <c r="DA142" i="1"/>
  <c r="DA143" i="1"/>
  <c r="DA144" i="1"/>
  <c r="DA145" i="1"/>
  <c r="DA146" i="1"/>
  <c r="DA147" i="1"/>
  <c r="DA148" i="1"/>
  <c r="DA149" i="1"/>
  <c r="DA150" i="1"/>
  <c r="DA151" i="1"/>
  <c r="DA152" i="1"/>
  <c r="DA153" i="1"/>
  <c r="DA154" i="1"/>
  <c r="DA155" i="1"/>
  <c r="DA156" i="1"/>
  <c r="DA157" i="1"/>
  <c r="DA158" i="1"/>
  <c r="DA159" i="1"/>
  <c r="DA160" i="1"/>
  <c r="DA161" i="1"/>
  <c r="DA162" i="1"/>
  <c r="DA163" i="1"/>
  <c r="DA164" i="1"/>
  <c r="DA165" i="1"/>
  <c r="DA166" i="1"/>
  <c r="DA167" i="1"/>
  <c r="DA168" i="1"/>
  <c r="DA169" i="1"/>
  <c r="DA170" i="1"/>
  <c r="DA171" i="1"/>
  <c r="DA172" i="1"/>
  <c r="DA173" i="1"/>
  <c r="DA174" i="1"/>
  <c r="DA175" i="1"/>
  <c r="DA176" i="1"/>
  <c r="DA177" i="1"/>
  <c r="DA178" i="1"/>
  <c r="DA179" i="1"/>
  <c r="DA180" i="1"/>
  <c r="DA181" i="1"/>
  <c r="DA182" i="1"/>
  <c r="DA183" i="1"/>
  <c r="DA184" i="1"/>
  <c r="DA185" i="1"/>
  <c r="DA186" i="1"/>
  <c r="DA187" i="1"/>
  <c r="DA188" i="1"/>
  <c r="DA189" i="1"/>
  <c r="DA190" i="1"/>
  <c r="DA191" i="1"/>
  <c r="DA192" i="1"/>
  <c r="DA193" i="1"/>
  <c r="DA194" i="1"/>
  <c r="DA195" i="1"/>
  <c r="DA196" i="1"/>
  <c r="DA197" i="1"/>
  <c r="DA198" i="1"/>
  <c r="DA199" i="1"/>
  <c r="DA200" i="1"/>
  <c r="DA201" i="1"/>
  <c r="DA202" i="1"/>
  <c r="DA203" i="1"/>
  <c r="DA204" i="1"/>
  <c r="DA205" i="1"/>
  <c r="DA206" i="1"/>
  <c r="DA207" i="1"/>
  <c r="DA208" i="1"/>
  <c r="DA209" i="1"/>
  <c r="DA210" i="1"/>
  <c r="DA211" i="1"/>
  <c r="DA212" i="1"/>
  <c r="DA213" i="1"/>
  <c r="DA214" i="1"/>
  <c r="DA215" i="1"/>
  <c r="DA216" i="1"/>
  <c r="DA217" i="1"/>
  <c r="DA218" i="1"/>
  <c r="DA219" i="1"/>
  <c r="DA220" i="1"/>
  <c r="DA221" i="1"/>
  <c r="DA222" i="1"/>
  <c r="DA223" i="1"/>
  <c r="DA224" i="1"/>
  <c r="DA225" i="1"/>
  <c r="DA226" i="1"/>
  <c r="DA227" i="1"/>
  <c r="DA228" i="1"/>
  <c r="DA229" i="1"/>
  <c r="DA230" i="1"/>
  <c r="DA231" i="1"/>
  <c r="DA232" i="1"/>
  <c r="DA233" i="1"/>
  <c r="DA234" i="1"/>
  <c r="DA235" i="1"/>
  <c r="DA236" i="1"/>
  <c r="DA237" i="1"/>
  <c r="DA238" i="1"/>
  <c r="DA239" i="1"/>
  <c r="DA240" i="1"/>
  <c r="DA241" i="1"/>
  <c r="DA242" i="1"/>
  <c r="DA243" i="1"/>
  <c r="DA244" i="1"/>
  <c r="DA245" i="1"/>
  <c r="DA246" i="1"/>
  <c r="DA247" i="1"/>
  <c r="DA248" i="1"/>
  <c r="DA249" i="1"/>
  <c r="DA250" i="1"/>
  <c r="DA251" i="1"/>
  <c r="DA252" i="1"/>
  <c r="DA253" i="1"/>
  <c r="DA254" i="1"/>
  <c r="DA255" i="1"/>
  <c r="DA256" i="1"/>
  <c r="DA257" i="1"/>
  <c r="DA258" i="1"/>
  <c r="DA259" i="1"/>
  <c r="DA260" i="1"/>
  <c r="DA261" i="1"/>
  <c r="DA262" i="1"/>
  <c r="DA263" i="1"/>
  <c r="DA264" i="1"/>
  <c r="DA265" i="1"/>
  <c r="DA266" i="1"/>
  <c r="DA267" i="1"/>
  <c r="DA268" i="1"/>
  <c r="DA269" i="1"/>
  <c r="DA270" i="1"/>
  <c r="DA271" i="1"/>
  <c r="DA272" i="1"/>
  <c r="DA273" i="1"/>
  <c r="DA274" i="1"/>
  <c r="DA275" i="1"/>
  <c r="DA276" i="1"/>
  <c r="DA277" i="1"/>
  <c r="DA278" i="1"/>
  <c r="DA279" i="1"/>
  <c r="DA280" i="1"/>
  <c r="DA281" i="1"/>
  <c r="DA282" i="1"/>
  <c r="DA283" i="1"/>
  <c r="DA284" i="1"/>
  <c r="DA285" i="1"/>
  <c r="DA286" i="1"/>
  <c r="DA287" i="1"/>
  <c r="DA288" i="1"/>
  <c r="DA289" i="1"/>
  <c r="DA290" i="1"/>
  <c r="DA291" i="1"/>
  <c r="DA292" i="1"/>
  <c r="DA293" i="1"/>
  <c r="DA294" i="1"/>
  <c r="DA295" i="1"/>
  <c r="DA296" i="1"/>
  <c r="DA297" i="1"/>
  <c r="DA298" i="1"/>
  <c r="DA299" i="1"/>
  <c r="DA300" i="1"/>
  <c r="DA301" i="1"/>
  <c r="DA302" i="1"/>
  <c r="DA303" i="1"/>
  <c r="DA304" i="1"/>
  <c r="DA305" i="1"/>
  <c r="DA306" i="1"/>
  <c r="DA307" i="1"/>
  <c r="DA308" i="1"/>
  <c r="DA309" i="1"/>
  <c r="DA310" i="1"/>
  <c r="DA311" i="1"/>
  <c r="DA312" i="1"/>
  <c r="DA313" i="1"/>
  <c r="DA314" i="1"/>
  <c r="DA315" i="1"/>
  <c r="DA316" i="1"/>
  <c r="DA317" i="1"/>
  <c r="DA318" i="1"/>
  <c r="DA319" i="1"/>
  <c r="DA320" i="1"/>
  <c r="DA321" i="1"/>
  <c r="DA322" i="1"/>
  <c r="DA323" i="1"/>
  <c r="DA324" i="1"/>
  <c r="DA325" i="1"/>
  <c r="DA326" i="1"/>
  <c r="DA327" i="1"/>
  <c r="DA328" i="1"/>
  <c r="DA329" i="1"/>
  <c r="DA330" i="1"/>
  <c r="DA331" i="1"/>
  <c r="DA332" i="1"/>
  <c r="DA333" i="1"/>
  <c r="DA334" i="1"/>
  <c r="DA335" i="1"/>
  <c r="DA336" i="1"/>
  <c r="DA337" i="1"/>
  <c r="DA338" i="1"/>
  <c r="DA339" i="1"/>
  <c r="DA340" i="1"/>
  <c r="DA341" i="1"/>
  <c r="DA342" i="1"/>
  <c r="DA343" i="1"/>
  <c r="DA344" i="1"/>
  <c r="DA345" i="1"/>
  <c r="DA346" i="1"/>
  <c r="DA347" i="1"/>
  <c r="DA348" i="1"/>
  <c r="DA349" i="1"/>
  <c r="DA350" i="1"/>
  <c r="DA351" i="1"/>
  <c r="DA352" i="1"/>
  <c r="DA353" i="1"/>
  <c r="DA354" i="1"/>
  <c r="DA355" i="1"/>
  <c r="DA356" i="1"/>
  <c r="DA357" i="1"/>
  <c r="DA358" i="1"/>
  <c r="DA359" i="1"/>
  <c r="DA360" i="1"/>
  <c r="DA361" i="1"/>
  <c r="DA362" i="1"/>
  <c r="DA363" i="1"/>
  <c r="DA364" i="1"/>
  <c r="DA365" i="1"/>
  <c r="DA366" i="1"/>
  <c r="DA367" i="1"/>
  <c r="DA368" i="1"/>
  <c r="DA369" i="1"/>
  <c r="DA370" i="1"/>
  <c r="DA371" i="1"/>
  <c r="DA372" i="1"/>
  <c r="DA373" i="1"/>
  <c r="DA374" i="1"/>
  <c r="DA375" i="1"/>
  <c r="DA376" i="1"/>
  <c r="DA377" i="1"/>
  <c r="DA378" i="1"/>
  <c r="DA379" i="1"/>
  <c r="DA380" i="1"/>
  <c r="DA381" i="1"/>
  <c r="DA382" i="1"/>
  <c r="DA383" i="1"/>
  <c r="DA384" i="1"/>
  <c r="DA385" i="1"/>
  <c r="DA386" i="1"/>
  <c r="DA387" i="1"/>
  <c r="DA388" i="1"/>
  <c r="DA389" i="1"/>
  <c r="DA390" i="1"/>
  <c r="DA391" i="1"/>
  <c r="DA392" i="1"/>
  <c r="DA393" i="1"/>
  <c r="DA394" i="1"/>
  <c r="DA395" i="1"/>
  <c r="DA396" i="1"/>
  <c r="DA397" i="1"/>
  <c r="DA398" i="1"/>
  <c r="DA399" i="1"/>
  <c r="DA400" i="1"/>
  <c r="DA401" i="1"/>
  <c r="DA402" i="1"/>
  <c r="DA403" i="1"/>
  <c r="DA404" i="1"/>
  <c r="DA405" i="1"/>
  <c r="DA406" i="1"/>
  <c r="DA407" i="1"/>
  <c r="DA408" i="1"/>
  <c r="DA409" i="1"/>
  <c r="DA410" i="1"/>
  <c r="DA411" i="1"/>
  <c r="DA412" i="1"/>
  <c r="DA413" i="1"/>
  <c r="DA414" i="1"/>
  <c r="DA415" i="1"/>
  <c r="DA416" i="1"/>
  <c r="DA417" i="1"/>
  <c r="DA418" i="1"/>
  <c r="DA419" i="1"/>
  <c r="DA420" i="1"/>
  <c r="DA421" i="1"/>
  <c r="DA422" i="1"/>
  <c r="DA423" i="1"/>
  <c r="DA424" i="1"/>
  <c r="DA425" i="1"/>
  <c r="DA426" i="1"/>
  <c r="DA427" i="1"/>
  <c r="DA428" i="1"/>
  <c r="DA429" i="1"/>
  <c r="DA430" i="1"/>
  <c r="DA431" i="1"/>
  <c r="DA432" i="1"/>
  <c r="DA433" i="1"/>
  <c r="DA434" i="1"/>
  <c r="DA435" i="1"/>
  <c r="DA436" i="1"/>
  <c r="DA437" i="1"/>
  <c r="DA438" i="1"/>
  <c r="DA439" i="1"/>
  <c r="DA440" i="1"/>
  <c r="DA441" i="1"/>
  <c r="DA442" i="1"/>
  <c r="DA443" i="1"/>
  <c r="DA444" i="1"/>
  <c r="DA445" i="1"/>
  <c r="DA446" i="1"/>
  <c r="DA447" i="1"/>
  <c r="DA448" i="1"/>
  <c r="DA449" i="1"/>
  <c r="DA450" i="1"/>
  <c r="DA451" i="1"/>
  <c r="DA452" i="1"/>
  <c r="DA453" i="1"/>
  <c r="DA454" i="1"/>
  <c r="DA455" i="1"/>
  <c r="DA456" i="1"/>
  <c r="DA457" i="1"/>
  <c r="DA458" i="1"/>
  <c r="DA459" i="1"/>
  <c r="DA460" i="1"/>
  <c r="DA461" i="1"/>
  <c r="DA462" i="1"/>
  <c r="DA463" i="1"/>
  <c r="DA464" i="1"/>
  <c r="DA465" i="1"/>
  <c r="DA466" i="1"/>
  <c r="DA467" i="1"/>
  <c r="DA468" i="1"/>
  <c r="DA469" i="1"/>
  <c r="DA470" i="1"/>
  <c r="DA471" i="1"/>
  <c r="DA472" i="1"/>
  <c r="DA473" i="1"/>
  <c r="DA474" i="1"/>
  <c r="DA475" i="1"/>
  <c r="DA476" i="1"/>
  <c r="DA477" i="1"/>
  <c r="DA478" i="1"/>
  <c r="DA479" i="1"/>
  <c r="DA480" i="1"/>
  <c r="DA481" i="1"/>
  <c r="DA482" i="1"/>
  <c r="DA483" i="1"/>
  <c r="DA484" i="1"/>
  <c r="DA485" i="1"/>
  <c r="DA486" i="1"/>
  <c r="DA487" i="1"/>
  <c r="DA488" i="1"/>
  <c r="DA489" i="1"/>
  <c r="DA490" i="1"/>
  <c r="DA491" i="1"/>
  <c r="DA492" i="1"/>
  <c r="DA493" i="1"/>
  <c r="DA494" i="1"/>
  <c r="DA495" i="1"/>
  <c r="DA496" i="1"/>
  <c r="DA497" i="1"/>
  <c r="DA498" i="1"/>
  <c r="DA499" i="1"/>
  <c r="DA500" i="1"/>
  <c r="DA501" i="1"/>
  <c r="DA502" i="1"/>
  <c r="DA503" i="1"/>
  <c r="DA504" i="1"/>
  <c r="DA505" i="1"/>
  <c r="DA506" i="1"/>
  <c r="DA507" i="1"/>
  <c r="DA508" i="1"/>
  <c r="DA509" i="1"/>
  <c r="DA510" i="1"/>
  <c r="DA511" i="1"/>
  <c r="DA512" i="1"/>
  <c r="DA513" i="1"/>
  <c r="DA514" i="1"/>
  <c r="DA515" i="1"/>
  <c r="DA516" i="1"/>
  <c r="DA517" i="1"/>
  <c r="DA518" i="1"/>
  <c r="DA519" i="1"/>
  <c r="DA520" i="1"/>
  <c r="DA521" i="1"/>
  <c r="DA522" i="1"/>
  <c r="DA523" i="1"/>
  <c r="DA524" i="1"/>
  <c r="DA525" i="1"/>
  <c r="DA526" i="1"/>
  <c r="DA527" i="1"/>
  <c r="DA528" i="1"/>
  <c r="DA529" i="1"/>
  <c r="DA530" i="1"/>
  <c r="DA531" i="1"/>
  <c r="DA532" i="1"/>
  <c r="DA533" i="1"/>
  <c r="DA534" i="1"/>
  <c r="DA535" i="1"/>
  <c r="DA536" i="1"/>
  <c r="DA537" i="1"/>
  <c r="DA538" i="1"/>
  <c r="DA539" i="1"/>
  <c r="DA540" i="1"/>
  <c r="DA541" i="1"/>
  <c r="DA542" i="1"/>
  <c r="DA543" i="1"/>
  <c r="DA544" i="1"/>
  <c r="DA545" i="1"/>
  <c r="DA546" i="1"/>
  <c r="DA547" i="1"/>
  <c r="DA548" i="1"/>
  <c r="DA549" i="1"/>
  <c r="DA550" i="1"/>
  <c r="DA551" i="1"/>
  <c r="DA552" i="1"/>
  <c r="DA553" i="1"/>
  <c r="DA554" i="1"/>
  <c r="DA555" i="1"/>
  <c r="DA556" i="1"/>
  <c r="DA557" i="1"/>
  <c r="DA558" i="1"/>
  <c r="DA559" i="1"/>
  <c r="DA560" i="1"/>
  <c r="DA561" i="1"/>
  <c r="DA562" i="1"/>
  <c r="DA563" i="1"/>
  <c r="DA564" i="1"/>
  <c r="DA565" i="1"/>
  <c r="DA566" i="1"/>
  <c r="DA567" i="1"/>
  <c r="DA568" i="1"/>
  <c r="DA569" i="1"/>
  <c r="DA570" i="1"/>
  <c r="DA571" i="1"/>
  <c r="DA572" i="1"/>
  <c r="DA573" i="1"/>
  <c r="DA574" i="1"/>
  <c r="DA575" i="1"/>
  <c r="DA576" i="1"/>
  <c r="DA577" i="1"/>
  <c r="DA578" i="1"/>
  <c r="DA579" i="1"/>
  <c r="DA580" i="1"/>
  <c r="DA581" i="1"/>
  <c r="DA582" i="1"/>
  <c r="DA583" i="1"/>
  <c r="DA584" i="1"/>
  <c r="DA585" i="1"/>
  <c r="DA586" i="1"/>
  <c r="DA587" i="1"/>
  <c r="DA588" i="1"/>
  <c r="DA589" i="1"/>
  <c r="DA590" i="1"/>
  <c r="DA591" i="1"/>
  <c r="DA592" i="1"/>
  <c r="DA593" i="1"/>
  <c r="DA594" i="1"/>
  <c r="DA595" i="1"/>
  <c r="DA596" i="1"/>
  <c r="DA597" i="1"/>
  <c r="DA598" i="1"/>
  <c r="DA599" i="1"/>
  <c r="DA600" i="1"/>
  <c r="DA601" i="1"/>
  <c r="DA602" i="1"/>
  <c r="DA603" i="1"/>
  <c r="DA604" i="1"/>
  <c r="DA605" i="1"/>
  <c r="DA606" i="1"/>
  <c r="DA607" i="1"/>
  <c r="DA608" i="1"/>
  <c r="DA609" i="1"/>
  <c r="DA610" i="1"/>
  <c r="DA611" i="1"/>
  <c r="DA612" i="1"/>
  <c r="DA613" i="1"/>
  <c r="DA614" i="1"/>
  <c r="DA615" i="1"/>
  <c r="DA616" i="1"/>
  <c r="DA617" i="1"/>
  <c r="DA618" i="1"/>
  <c r="DA619" i="1"/>
  <c r="DA620" i="1"/>
  <c r="DA621" i="1"/>
  <c r="DA622" i="1"/>
  <c r="DA623" i="1"/>
  <c r="DA624" i="1"/>
  <c r="DA625" i="1"/>
  <c r="DA626" i="1"/>
  <c r="DA627" i="1"/>
  <c r="DA628" i="1"/>
  <c r="DA629" i="1"/>
  <c r="DA630" i="1"/>
  <c r="DA631" i="1"/>
  <c r="DA632" i="1"/>
  <c r="DA633" i="1"/>
  <c r="DA634" i="1"/>
  <c r="DA635" i="1"/>
  <c r="DA636" i="1"/>
  <c r="DA637" i="1"/>
  <c r="DA638" i="1"/>
  <c r="DA639" i="1"/>
  <c r="DA640" i="1"/>
  <c r="DA641" i="1"/>
  <c r="DA642" i="1"/>
  <c r="DA643" i="1"/>
  <c r="DA644" i="1"/>
  <c r="DA645" i="1"/>
  <c r="DA646" i="1"/>
  <c r="DA647" i="1"/>
  <c r="DA648" i="1"/>
  <c r="DA649" i="1"/>
  <c r="DA650" i="1"/>
  <c r="DA651" i="1"/>
  <c r="DA652" i="1"/>
  <c r="DA653" i="1"/>
  <c r="DA654" i="1"/>
  <c r="DA655" i="1"/>
  <c r="DA656" i="1"/>
  <c r="DA657" i="1"/>
  <c r="DA658" i="1"/>
  <c r="DA659" i="1"/>
  <c r="DA660" i="1"/>
  <c r="DA661" i="1"/>
  <c r="DA662" i="1"/>
  <c r="DA663" i="1"/>
  <c r="DA664" i="1"/>
  <c r="DA665" i="1"/>
  <c r="DA666" i="1"/>
  <c r="DA667" i="1"/>
  <c r="S6" i="11" l="1"/>
  <c r="S6" i="13" s="1"/>
  <c r="C85" i="8"/>
  <c r="C86" i="8"/>
  <c r="C83" i="8"/>
  <c r="C80" i="8"/>
  <c r="C82" i="8"/>
  <c r="C78" i="8"/>
  <c r="C79" i="8"/>
  <c r="C84" i="8"/>
  <c r="C81" i="8"/>
  <c r="C66" i="8"/>
  <c r="C70" i="8"/>
  <c r="C67" i="8"/>
  <c r="C68" i="8"/>
  <c r="C69" i="8"/>
  <c r="C71" i="8"/>
  <c r="C73" i="8"/>
  <c r="C74" i="8"/>
  <c r="C72" i="8"/>
  <c r="C115" i="8"/>
  <c r="C117" i="8"/>
  <c r="C122" i="8"/>
  <c r="C118" i="8"/>
  <c r="C119" i="8"/>
  <c r="C116" i="8"/>
  <c r="C121" i="8"/>
  <c r="C114" i="8"/>
  <c r="C120" i="8"/>
  <c r="C58" i="8"/>
  <c r="C61" i="8"/>
  <c r="C57" i="8"/>
  <c r="C55" i="8"/>
  <c r="C60" i="8"/>
  <c r="C54" i="8"/>
  <c r="C56" i="8"/>
  <c r="C62" i="8"/>
  <c r="C59" i="8"/>
  <c r="C93" i="8"/>
  <c r="C94" i="8"/>
  <c r="C92" i="8"/>
  <c r="C95" i="8"/>
  <c r="C96" i="8"/>
  <c r="C90" i="8"/>
  <c r="C91" i="8"/>
  <c r="C97" i="8"/>
  <c r="C98" i="8"/>
  <c r="C104" i="8"/>
  <c r="N10" i="8" s="1"/>
  <c r="C105" i="8"/>
  <c r="O10" i="8" s="1"/>
  <c r="C106" i="8"/>
  <c r="P10" i="8" s="1"/>
  <c r="C107" i="8"/>
  <c r="Q10" i="8" s="1"/>
  <c r="C110" i="8"/>
  <c r="T10" i="8" s="1"/>
  <c r="C108" i="8"/>
  <c r="R10" i="8" s="1"/>
  <c r="C109" i="8"/>
  <c r="S10" i="8" s="1"/>
  <c r="C102" i="8"/>
  <c r="L10" i="8" s="1"/>
  <c r="C103" i="8"/>
  <c r="M10" i="8" s="1"/>
  <c r="C44" i="8"/>
  <c r="A88" i="11" s="1"/>
  <c r="C46" i="8"/>
  <c r="A90" i="11" s="1"/>
  <c r="C49" i="8"/>
  <c r="A93" i="11" s="1"/>
  <c r="C45" i="8"/>
  <c r="A89" i="11" s="1"/>
  <c r="C48" i="8"/>
  <c r="A92" i="11" s="1"/>
  <c r="C42" i="8"/>
  <c r="A86" i="11" s="1"/>
  <c r="C47" i="8"/>
  <c r="A91" i="11" s="1"/>
  <c r="C43" i="8"/>
  <c r="A87" i="11" s="1"/>
  <c r="C50" i="8"/>
  <c r="A94" i="11" s="1"/>
  <c r="I10" i="15" l="1"/>
  <c r="I12" i="15"/>
  <c r="I11" i="15"/>
  <c r="I7" i="15"/>
  <c r="I8" i="15"/>
  <c r="I4" i="15"/>
  <c r="I5" i="15"/>
  <c r="I6" i="15"/>
  <c r="I9" i="15"/>
  <c r="AX36" i="11"/>
  <c r="AX18" i="13" s="1"/>
  <c r="AW36" i="11"/>
  <c r="AW18" i="13" s="1"/>
  <c r="AU36" i="11"/>
  <c r="AU18" i="13" s="1"/>
  <c r="AT36" i="11"/>
  <c r="AT18" i="13" s="1"/>
  <c r="AS36" i="11"/>
  <c r="AS18" i="13" s="1"/>
  <c r="AV36" i="11"/>
  <c r="AV18" i="13" s="1"/>
  <c r="AN38" i="11"/>
  <c r="AN20" i="13" s="1"/>
  <c r="AH40" i="11"/>
  <c r="AH22" i="13" s="1"/>
  <c r="T35" i="11"/>
  <c r="T17" i="13" s="1"/>
  <c r="S37" i="11"/>
  <c r="S19" i="13" s="1"/>
  <c r="Q40" i="11"/>
  <c r="Q22" i="13" s="1"/>
  <c r="AW33" i="11"/>
  <c r="AW15" i="13" s="1"/>
  <c r="R36" i="11"/>
  <c r="R18" i="13" s="1"/>
  <c r="AA35" i="11"/>
  <c r="AA17" i="13" s="1"/>
  <c r="T40" i="11"/>
  <c r="T22" i="13" s="1"/>
  <c r="AM34" i="11"/>
  <c r="AM16" i="13" s="1"/>
  <c r="L37" i="11"/>
  <c r="L19" i="13" s="1"/>
  <c r="AV40" i="11"/>
  <c r="AV22" i="13" s="1"/>
  <c r="U34" i="11"/>
  <c r="U16" i="13" s="1"/>
  <c r="AU34" i="11"/>
  <c r="AU16" i="13" s="1"/>
  <c r="AH37" i="11"/>
  <c r="AH19" i="13" s="1"/>
  <c r="AO40" i="11"/>
  <c r="AO22" i="13" s="1"/>
  <c r="M37" i="11"/>
  <c r="M19" i="13" s="1"/>
  <c r="AU40" i="11"/>
  <c r="AU22" i="13" s="1"/>
  <c r="V38" i="11"/>
  <c r="V20" i="13" s="1"/>
  <c r="AW32" i="11"/>
  <c r="AW14" i="13" s="1"/>
  <c r="V35" i="11"/>
  <c r="V17" i="13" s="1"/>
  <c r="J34" i="11"/>
  <c r="J16" i="13" s="1"/>
  <c r="J36" i="11"/>
  <c r="J18" i="13" s="1"/>
  <c r="F37" i="11"/>
  <c r="F19" i="13" s="1"/>
  <c r="AS38" i="11"/>
  <c r="AS20" i="13" s="1"/>
  <c r="G37" i="11"/>
  <c r="G19" i="13" s="1"/>
  <c r="X39" i="11"/>
  <c r="X21" i="13" s="1"/>
  <c r="AX33" i="11"/>
  <c r="AX15" i="13" s="1"/>
  <c r="AL36" i="11"/>
  <c r="AL18" i="13" s="1"/>
  <c r="M34" i="11"/>
  <c r="M16" i="13" s="1"/>
  <c r="AG36" i="11"/>
  <c r="AG18" i="13" s="1"/>
  <c r="AM38" i="11"/>
  <c r="AM20" i="13" s="1"/>
  <c r="AS35" i="11"/>
  <c r="AS17" i="13" s="1"/>
  <c r="D37" i="11"/>
  <c r="D19" i="13" s="1"/>
  <c r="V37" i="11"/>
  <c r="V19" i="13" s="1"/>
  <c r="AN32" i="11"/>
  <c r="AN14" i="13" s="1"/>
  <c r="AE36" i="11"/>
  <c r="AE18" i="13" s="1"/>
  <c r="K37" i="11"/>
  <c r="K19" i="13" s="1"/>
  <c r="T38" i="11"/>
  <c r="T20" i="13" s="1"/>
  <c r="AH33" i="11"/>
  <c r="AH15" i="13" s="1"/>
  <c r="Y33" i="11"/>
  <c r="Y15" i="13" s="1"/>
  <c r="AO36" i="11"/>
  <c r="AO18" i="13" s="1"/>
  <c r="S32" i="11"/>
  <c r="S14" i="13" s="1"/>
  <c r="AT37" i="11"/>
  <c r="AT19" i="13" s="1"/>
  <c r="AA39" i="11"/>
  <c r="AA21" i="13" s="1"/>
  <c r="E34" i="11"/>
  <c r="E16" i="13" s="1"/>
  <c r="AM37" i="11"/>
  <c r="AM19" i="13" s="1"/>
  <c r="AY39" i="11"/>
  <c r="AY21" i="13" s="1"/>
  <c r="AX38" i="11"/>
  <c r="AX20" i="13" s="1"/>
  <c r="AO33" i="11"/>
  <c r="AO15" i="13" s="1"/>
  <c r="K33" i="11"/>
  <c r="K15" i="13" s="1"/>
  <c r="AN33" i="11"/>
  <c r="AN15" i="13" s="1"/>
  <c r="AU33" i="11"/>
  <c r="AU15" i="13" s="1"/>
  <c r="AY38" i="11"/>
  <c r="AY20" i="13" s="1"/>
  <c r="G32" i="11"/>
  <c r="G14" i="13" s="1"/>
  <c r="D32" i="11"/>
  <c r="D14" i="13" s="1"/>
  <c r="AL39" i="11"/>
  <c r="AL21" i="13" s="1"/>
  <c r="Z32" i="11"/>
  <c r="Z14" i="13" s="1"/>
  <c r="Z37" i="11"/>
  <c r="Z19" i="13" s="1"/>
  <c r="C32" i="11"/>
  <c r="C14" i="13" s="1"/>
  <c r="AV35" i="11"/>
  <c r="AV17" i="13" s="1"/>
  <c r="S35" i="11"/>
  <c r="S17" i="13" s="1"/>
  <c r="Q39" i="11"/>
  <c r="Q21" i="13" s="1"/>
  <c r="AV38" i="11"/>
  <c r="AV20" i="13" s="1"/>
  <c r="O33" i="11"/>
  <c r="O15" i="13" s="1"/>
  <c r="Z39" i="11"/>
  <c r="Z21" i="13" s="1"/>
  <c r="F40" i="11"/>
  <c r="F22" i="13" s="1"/>
  <c r="K40" i="11"/>
  <c r="K22" i="13" s="1"/>
  <c r="AS34" i="11"/>
  <c r="AS16" i="13" s="1"/>
  <c r="V40" i="11"/>
  <c r="V22" i="13" s="1"/>
  <c r="AM32" i="11"/>
  <c r="AM14" i="13" s="1"/>
  <c r="AA36" i="11"/>
  <c r="AA18" i="13" s="1"/>
  <c r="AW40" i="11"/>
  <c r="AW22" i="13" s="1"/>
  <c r="Y36" i="11"/>
  <c r="Y18" i="13" s="1"/>
  <c r="AX32" i="11"/>
  <c r="AX14" i="13" s="1"/>
  <c r="AF34" i="11"/>
  <c r="AF16" i="13" s="1"/>
  <c r="T32" i="11"/>
  <c r="T14" i="13" s="1"/>
  <c r="AO39" i="11"/>
  <c r="AO21" i="13" s="1"/>
  <c r="AW35" i="11"/>
  <c r="AW17" i="13" s="1"/>
  <c r="G34" i="11"/>
  <c r="G16" i="13" s="1"/>
  <c r="AN35" i="11"/>
  <c r="AN17" i="13" s="1"/>
  <c r="O37" i="11"/>
  <c r="O19" i="13" s="1"/>
  <c r="F35" i="11"/>
  <c r="F17" i="13" s="1"/>
  <c r="M33" i="11"/>
  <c r="M15" i="13" s="1"/>
  <c r="AS32" i="11"/>
  <c r="AS14" i="13" s="1"/>
  <c r="AM40" i="11"/>
  <c r="AM22" i="13" s="1"/>
  <c r="AN40" i="11"/>
  <c r="AN22" i="13" s="1"/>
  <c r="AL34" i="11"/>
  <c r="AL16" i="13" s="1"/>
  <c r="J32" i="11"/>
  <c r="J14" i="13" s="1"/>
  <c r="L36" i="11"/>
  <c r="L18" i="13" s="1"/>
  <c r="L39" i="11"/>
  <c r="L21" i="13" s="1"/>
  <c r="C35" i="11"/>
  <c r="C17" i="13" s="1"/>
  <c r="V34" i="11"/>
  <c r="V16" i="13" s="1"/>
  <c r="AM35" i="11"/>
  <c r="AM17" i="13" s="1"/>
  <c r="M38" i="11"/>
  <c r="M20" i="13" s="1"/>
  <c r="AT34" i="11"/>
  <c r="AT16" i="13" s="1"/>
  <c r="C37" i="11"/>
  <c r="C19" i="13" s="1"/>
  <c r="AG37" i="11"/>
  <c r="AG19" i="13" s="1"/>
  <c r="Y40" i="11"/>
  <c r="Y22" i="13" s="1"/>
  <c r="N32" i="11"/>
  <c r="N14" i="13" s="1"/>
  <c r="K36" i="11"/>
  <c r="K18" i="13" s="1"/>
  <c r="AA34" i="11"/>
  <c r="AA16" i="13" s="1"/>
  <c r="AO34" i="11"/>
  <c r="AO16" i="13" s="1"/>
  <c r="AE32" i="11"/>
  <c r="AE14" i="13" s="1"/>
  <c r="AU37" i="11"/>
  <c r="AU19" i="13" s="1"/>
  <c r="AH36" i="11"/>
  <c r="AH18" i="13" s="1"/>
  <c r="AN37" i="11"/>
  <c r="AN19" i="13" s="1"/>
  <c r="AM36" i="11"/>
  <c r="AM18" i="13" s="1"/>
  <c r="K35" i="11"/>
  <c r="K17" i="13" s="1"/>
  <c r="AT40" i="11"/>
  <c r="AT22" i="13" s="1"/>
  <c r="AU32" i="11"/>
  <c r="AU14" i="13" s="1"/>
  <c r="AN34" i="11"/>
  <c r="AN16" i="13" s="1"/>
  <c r="AM33" i="11"/>
  <c r="AM15" i="13" s="1"/>
  <c r="D33" i="11"/>
  <c r="D15" i="13" s="1"/>
  <c r="AG34" i="11"/>
  <c r="AG16" i="13" s="1"/>
  <c r="AU38" i="11"/>
  <c r="AU20" i="13" s="1"/>
  <c r="AS40" i="11"/>
  <c r="AS22" i="13" s="1"/>
  <c r="V33" i="11"/>
  <c r="V15" i="13" s="1"/>
  <c r="V32" i="11"/>
  <c r="V14" i="13" s="1"/>
  <c r="S39" i="11"/>
  <c r="S21" i="13" s="1"/>
  <c r="AT33" i="11"/>
  <c r="AT15" i="13" s="1"/>
  <c r="S40" i="11"/>
  <c r="S22" i="13" s="1"/>
  <c r="C39" i="11"/>
  <c r="C21" i="13" s="1"/>
  <c r="AB32" i="11"/>
  <c r="AB14" i="13" s="1"/>
  <c r="O32" i="11"/>
  <c r="O14" i="13" s="1"/>
  <c r="X40" i="11"/>
  <c r="X22" i="13" s="1"/>
  <c r="Y32" i="11"/>
  <c r="Y14" i="13" s="1"/>
  <c r="Q33" i="11"/>
  <c r="Q15" i="13" s="1"/>
  <c r="AN39" i="11"/>
  <c r="AN21" i="13" s="1"/>
  <c r="AU35" i="11"/>
  <c r="AU17" i="13" s="1"/>
  <c r="R34" i="11"/>
  <c r="R16" i="13" s="1"/>
  <c r="J38" i="11"/>
  <c r="J20" i="13" s="1"/>
  <c r="AG40" i="11"/>
  <c r="AG22" i="13" s="1"/>
  <c r="AY40" i="11"/>
  <c r="AY22" i="13" s="1"/>
  <c r="AH32" i="11"/>
  <c r="AH14" i="13" s="1"/>
  <c r="AY32" i="11"/>
  <c r="AY14" i="13" s="1"/>
  <c r="AO38" i="11"/>
  <c r="AO20" i="13" s="1"/>
  <c r="AL32" i="11"/>
  <c r="AL14" i="13" s="1"/>
  <c r="AY35" i="11"/>
  <c r="AY17" i="13" s="1"/>
  <c r="E32" i="11"/>
  <c r="E14" i="13" s="1"/>
  <c r="AX35" i="11"/>
  <c r="AX17" i="13" s="1"/>
  <c r="AE33" i="11"/>
  <c r="AE15" i="13" s="1"/>
  <c r="X38" i="11"/>
  <c r="X20" i="13" s="1"/>
  <c r="AW37" i="11"/>
  <c r="AW19" i="13" s="1"/>
  <c r="AV32" i="11"/>
  <c r="AV14" i="13" s="1"/>
  <c r="AH39" i="11"/>
  <c r="AH21" i="13" s="1"/>
  <c r="AO35" i="11"/>
  <c r="AO17" i="13" s="1"/>
  <c r="H37" i="11"/>
  <c r="H19" i="13" s="1"/>
  <c r="H36" i="11"/>
  <c r="H18" i="13" s="1"/>
  <c r="X32" i="11"/>
  <c r="X14" i="13" s="1"/>
  <c r="AW34" i="11"/>
  <c r="AW16" i="13" s="1"/>
  <c r="D35" i="11"/>
  <c r="D17" i="13" s="1"/>
  <c r="AA40" i="11"/>
  <c r="AA22" i="13" s="1"/>
  <c r="N39" i="11"/>
  <c r="N21" i="13" s="1"/>
  <c r="K34" i="11"/>
  <c r="K16" i="13" s="1"/>
  <c r="AS37" i="11"/>
  <c r="AS19" i="13" s="1"/>
  <c r="X35" i="11"/>
  <c r="X17" i="13" s="1"/>
  <c r="T36" i="11"/>
  <c r="T18" i="13" s="1"/>
  <c r="G36" i="11"/>
  <c r="G18" i="13" s="1"/>
  <c r="O38" i="11"/>
  <c r="O20" i="13" s="1"/>
  <c r="AA33" i="11"/>
  <c r="AA15" i="13" s="1"/>
  <c r="M32" i="11"/>
  <c r="M14" i="13" s="1"/>
  <c r="J39" i="11"/>
  <c r="J21" i="13" s="1"/>
  <c r="AB39" i="11"/>
  <c r="AB21" i="13" s="1"/>
  <c r="Z33" i="11"/>
  <c r="Z15" i="13" s="1"/>
  <c r="G38" i="11"/>
  <c r="G20" i="13" s="1"/>
  <c r="AM39" i="11"/>
  <c r="AM21" i="13" s="1"/>
  <c r="R40" i="11"/>
  <c r="R22" i="13" s="1"/>
  <c r="AY36" i="11"/>
  <c r="AY18" i="13" s="1"/>
  <c r="C34" i="11"/>
  <c r="C16" i="13" s="1"/>
  <c r="AY33" i="11"/>
  <c r="AY15" i="13" s="1"/>
  <c r="F38" i="11"/>
  <c r="F20" i="13" s="1"/>
  <c r="Z40" i="11"/>
  <c r="Z22" i="13" s="1"/>
  <c r="D40" i="11"/>
  <c r="D22" i="13" s="1"/>
  <c r="AX37" i="11"/>
  <c r="AX19" i="13" s="1"/>
  <c r="T33" i="11"/>
  <c r="T15" i="13" s="1"/>
  <c r="AX40" i="11"/>
  <c r="AX22" i="13" s="1"/>
  <c r="AX34" i="11"/>
  <c r="AX16" i="13" s="1"/>
  <c r="Z36" i="11"/>
  <c r="Z18" i="13" s="1"/>
  <c r="M35" i="11"/>
  <c r="M17" i="13" s="1"/>
  <c r="U37" i="11"/>
  <c r="U19" i="13" s="1"/>
  <c r="S36" i="11"/>
  <c r="S18" i="13" s="1"/>
  <c r="H39" i="11"/>
  <c r="H21" i="13" s="1"/>
  <c r="AF39" i="11"/>
  <c r="AF21" i="13" s="1"/>
  <c r="H34" i="11"/>
  <c r="H16" i="13" s="1"/>
  <c r="E38" i="11"/>
  <c r="E20" i="13" s="1"/>
  <c r="J40" i="11"/>
  <c r="J22" i="13" s="1"/>
  <c r="E36" i="11"/>
  <c r="E18" i="13" s="1"/>
  <c r="O40" i="11"/>
  <c r="O22" i="13" s="1"/>
  <c r="H38" i="11"/>
  <c r="H20" i="13" s="1"/>
  <c r="AG38" i="11"/>
  <c r="AG20" i="13" s="1"/>
  <c r="AU39" i="11"/>
  <c r="AU21" i="13" s="1"/>
  <c r="AV33" i="11"/>
  <c r="AV15" i="13" s="1"/>
  <c r="E33" i="11"/>
  <c r="E15" i="13" s="1"/>
  <c r="AV37" i="11"/>
  <c r="AV19" i="13" s="1"/>
  <c r="D39" i="11"/>
  <c r="D21" i="13" s="1"/>
  <c r="F34" i="11"/>
  <c r="F16" i="13" s="1"/>
  <c r="AT39" i="11"/>
  <c r="AT21" i="13" s="1"/>
  <c r="Q38" i="11"/>
  <c r="Q20" i="13" s="1"/>
  <c r="O36" i="11"/>
  <c r="O18" i="13" s="1"/>
  <c r="G35" i="11"/>
  <c r="G17" i="13" s="1"/>
  <c r="AX39" i="11"/>
  <c r="AX21" i="13" s="1"/>
  <c r="U39" i="11"/>
  <c r="U21" i="13" s="1"/>
  <c r="AF40" i="11"/>
  <c r="AF22" i="13" s="1"/>
  <c r="AB38" i="11"/>
  <c r="AB20" i="13" s="1"/>
  <c r="X37" i="11"/>
  <c r="X19" i="13" s="1"/>
  <c r="X33" i="11"/>
  <c r="X15" i="13" s="1"/>
  <c r="M36" i="11"/>
  <c r="M18" i="13" s="1"/>
  <c r="D36" i="11"/>
  <c r="D18" i="13" s="1"/>
  <c r="AF35" i="11"/>
  <c r="AF17" i="13" s="1"/>
  <c r="AE37" i="11"/>
  <c r="AE19" i="13" s="1"/>
  <c r="K32" i="11"/>
  <c r="K14" i="13" s="1"/>
  <c r="J35" i="11"/>
  <c r="J17" i="13" s="1"/>
  <c r="L32" i="11"/>
  <c r="L14" i="13" s="1"/>
  <c r="AB35" i="11"/>
  <c r="AB17" i="13" s="1"/>
  <c r="R35" i="11"/>
  <c r="R17" i="13" s="1"/>
  <c r="Q37" i="11"/>
  <c r="Q19" i="13" s="1"/>
  <c r="L35" i="11"/>
  <c r="L17" i="13" s="1"/>
  <c r="AF32" i="11"/>
  <c r="AF14" i="13" s="1"/>
  <c r="G40" i="11"/>
  <c r="G22" i="13" s="1"/>
  <c r="AE34" i="11"/>
  <c r="AE16" i="13" s="1"/>
  <c r="AV34" i="11"/>
  <c r="AV16" i="13" s="1"/>
  <c r="V39" i="11"/>
  <c r="V21" i="13" s="1"/>
  <c r="AT38" i="11"/>
  <c r="AT20" i="13" s="1"/>
  <c r="L40" i="11"/>
  <c r="L22" i="13" s="1"/>
  <c r="X36" i="11"/>
  <c r="X18" i="13" s="1"/>
  <c r="AL38" i="11"/>
  <c r="AL20" i="13" s="1"/>
  <c r="F32" i="11"/>
  <c r="F14" i="13" s="1"/>
  <c r="AL37" i="11"/>
  <c r="AL19" i="13" s="1"/>
  <c r="AL33" i="11"/>
  <c r="AL15" i="13" s="1"/>
  <c r="AY34" i="11"/>
  <c r="AY16" i="13" s="1"/>
  <c r="N38" i="11"/>
  <c r="N20" i="13" s="1"/>
  <c r="D38" i="11"/>
  <c r="D20" i="13" s="1"/>
  <c r="AL35" i="11"/>
  <c r="AL17" i="13" s="1"/>
  <c r="R33" i="11"/>
  <c r="R15" i="13" s="1"/>
  <c r="K38" i="11"/>
  <c r="K20" i="13" s="1"/>
  <c r="C40" i="11"/>
  <c r="C22" i="13" s="1"/>
  <c r="AG32" i="11"/>
  <c r="AG14" i="13" s="1"/>
  <c r="AS39" i="11"/>
  <c r="AS21" i="13" s="1"/>
  <c r="N34" i="11"/>
  <c r="N16" i="13" s="1"/>
  <c r="M39" i="11"/>
  <c r="M21" i="13" s="1"/>
  <c r="AG33" i="11"/>
  <c r="AG15" i="13" s="1"/>
  <c r="E37" i="11"/>
  <c r="E19" i="13" s="1"/>
  <c r="E35" i="11"/>
  <c r="E17" i="13" s="1"/>
  <c r="X34" i="11"/>
  <c r="X16" i="13" s="1"/>
  <c r="H32" i="11"/>
  <c r="H14" i="13" s="1"/>
  <c r="C38" i="11"/>
  <c r="C20" i="13" s="1"/>
  <c r="Q35" i="11"/>
  <c r="Q17" i="13" s="1"/>
  <c r="F33" i="11"/>
  <c r="F15" i="13" s="1"/>
  <c r="N37" i="11"/>
  <c r="N19" i="13" s="1"/>
  <c r="AB34" i="11"/>
  <c r="AB16" i="13" s="1"/>
  <c r="U33" i="11"/>
  <c r="U15" i="13" s="1"/>
  <c r="AF38" i="11"/>
  <c r="AF20" i="13" s="1"/>
  <c r="G33" i="11"/>
  <c r="G15" i="13" s="1"/>
  <c r="L38" i="11"/>
  <c r="L20" i="13" s="1"/>
  <c r="S34" i="11"/>
  <c r="S16" i="13" s="1"/>
  <c r="AS33" i="11"/>
  <c r="AS15" i="13" s="1"/>
  <c r="AY37" i="11"/>
  <c r="AY19" i="13" s="1"/>
  <c r="R32" i="11"/>
  <c r="R14" i="13" s="1"/>
  <c r="J37" i="11"/>
  <c r="J19" i="13" s="1"/>
  <c r="G39" i="11"/>
  <c r="G21" i="13" s="1"/>
  <c r="AW38" i="11"/>
  <c r="AW20" i="13" s="1"/>
  <c r="F36" i="11"/>
  <c r="F18" i="13" s="1"/>
  <c r="H40" i="11"/>
  <c r="H22" i="13" s="1"/>
  <c r="E40" i="11"/>
  <c r="E22" i="13" s="1"/>
  <c r="AE39" i="11"/>
  <c r="AE21" i="13" s="1"/>
  <c r="H35" i="11"/>
  <c r="H17" i="13" s="1"/>
  <c r="R39" i="11"/>
  <c r="R21" i="13" s="1"/>
  <c r="U38" i="11"/>
  <c r="U20" i="13" s="1"/>
  <c r="Y35" i="11"/>
  <c r="Y17" i="13" s="1"/>
  <c r="F39" i="11"/>
  <c r="F21" i="13" s="1"/>
  <c r="U40" i="11"/>
  <c r="U22" i="13" s="1"/>
  <c r="N40" i="11"/>
  <c r="N22" i="13" s="1"/>
  <c r="U36" i="11"/>
  <c r="U18" i="13" s="1"/>
  <c r="C33" i="11"/>
  <c r="C15" i="13" s="1"/>
  <c r="T39" i="11"/>
  <c r="T21" i="13" s="1"/>
  <c r="R38" i="11"/>
  <c r="R20" i="13" s="1"/>
  <c r="T34" i="11"/>
  <c r="T16" i="13" s="1"/>
  <c r="Z34" i="11"/>
  <c r="Z16" i="13" s="1"/>
  <c r="Q32" i="11"/>
  <c r="Q14" i="13" s="1"/>
  <c r="O39" i="11"/>
  <c r="O21" i="13" s="1"/>
  <c r="E39" i="11"/>
  <c r="E21" i="13" s="1"/>
  <c r="N33" i="11"/>
  <c r="N15" i="13" s="1"/>
  <c r="H33" i="11"/>
  <c r="H15" i="13" s="1"/>
  <c r="L33" i="11"/>
  <c r="L15" i="13" s="1"/>
  <c r="Q36" i="11"/>
  <c r="Q18" i="13" s="1"/>
  <c r="U32" i="11"/>
  <c r="U14" i="13" s="1"/>
  <c r="AW39" i="11"/>
  <c r="AW21" i="13" s="1"/>
  <c r="AA38" i="11"/>
  <c r="AA20" i="13" s="1"/>
  <c r="AF37" i="11"/>
  <c r="AF19" i="13" s="1"/>
  <c r="AL40" i="11"/>
  <c r="AL22" i="13" s="1"/>
  <c r="S33" i="11"/>
  <c r="S15" i="13" s="1"/>
  <c r="Y38" i="11"/>
  <c r="Y20" i="13" s="1"/>
  <c r="AG35" i="11"/>
  <c r="AG17" i="13" s="1"/>
  <c r="N36" i="11"/>
  <c r="N18" i="13" s="1"/>
  <c r="AO37" i="11"/>
  <c r="AO19" i="13" s="1"/>
  <c r="V36" i="11"/>
  <c r="V18" i="13" s="1"/>
  <c r="S38" i="11"/>
  <c r="S20" i="13" s="1"/>
  <c r="AE35" i="11"/>
  <c r="AE17" i="13" s="1"/>
  <c r="AB37" i="11"/>
  <c r="AB19" i="13" s="1"/>
  <c r="T37" i="11"/>
  <c r="T19" i="13" s="1"/>
  <c r="AG39" i="11"/>
  <c r="AG21" i="13" s="1"/>
  <c r="Q34" i="11"/>
  <c r="Q16" i="13" s="1"/>
  <c r="N35" i="11"/>
  <c r="N17" i="13" s="1"/>
  <c r="AE40" i="11"/>
  <c r="AE22" i="13" s="1"/>
  <c r="Y34" i="11"/>
  <c r="Y16" i="13" s="1"/>
  <c r="J33" i="11"/>
  <c r="J15" i="13" s="1"/>
  <c r="AF33" i="11"/>
  <c r="AF15" i="13" s="1"/>
  <c r="AT32" i="11"/>
  <c r="AT14" i="13" s="1"/>
  <c r="AT35" i="11"/>
  <c r="AT17" i="13" s="1"/>
  <c r="U35" i="11"/>
  <c r="U17" i="13" s="1"/>
  <c r="AA32" i="11"/>
  <c r="AA14" i="13" s="1"/>
  <c r="AN36" i="11"/>
  <c r="AN18" i="13" s="1"/>
  <c r="AB40" i="11"/>
  <c r="AB22" i="13" s="1"/>
  <c r="M40" i="11"/>
  <c r="M22" i="13" s="1"/>
  <c r="AH38" i="11"/>
  <c r="AH20" i="13" s="1"/>
  <c r="AH34" i="11"/>
  <c r="AH16" i="13" s="1"/>
  <c r="Z38" i="11"/>
  <c r="Z20" i="13" s="1"/>
  <c r="O35" i="11"/>
  <c r="O17" i="13" s="1"/>
  <c r="K39" i="11"/>
  <c r="K21" i="13" s="1"/>
  <c r="AB36" i="11"/>
  <c r="AB18" i="13" s="1"/>
  <c r="C36" i="11"/>
  <c r="C18" i="13" s="1"/>
  <c r="AO32" i="11"/>
  <c r="AO14" i="13" s="1"/>
  <c r="AE38" i="11"/>
  <c r="AE20" i="13" s="1"/>
  <c r="R37" i="11"/>
  <c r="R19" i="13" s="1"/>
  <c r="L34" i="11"/>
  <c r="L16" i="13" s="1"/>
  <c r="AA37" i="11"/>
  <c r="AA19" i="13" s="1"/>
  <c r="Y39" i="11"/>
  <c r="Y21" i="13" s="1"/>
  <c r="AH35" i="11"/>
  <c r="AH17" i="13" s="1"/>
  <c r="D34" i="11"/>
  <c r="D16" i="13" s="1"/>
  <c r="AB33" i="11"/>
  <c r="AB15" i="13" s="1"/>
  <c r="Y37" i="11"/>
  <c r="Y19" i="13" s="1"/>
  <c r="AF36" i="11"/>
  <c r="AF18" i="13" s="1"/>
  <c r="Z35" i="11"/>
  <c r="Z17" i="13" s="1"/>
  <c r="AV39" i="11"/>
  <c r="AV21" i="13" s="1"/>
  <c r="O34" i="11"/>
  <c r="O16" i="13" s="1"/>
  <c r="AY63" i="11"/>
  <c r="AY28" i="13" s="1"/>
  <c r="AX63" i="11"/>
  <c r="AX28" i="13" s="1"/>
  <c r="AW63" i="11"/>
  <c r="AW28" i="13" s="1"/>
  <c r="AV63" i="11"/>
  <c r="AV28" i="13" s="1"/>
  <c r="AU63" i="11"/>
  <c r="AU28" i="13" s="1"/>
  <c r="AT63" i="11"/>
  <c r="AT28" i="13" s="1"/>
  <c r="AS63" i="11"/>
  <c r="AS28" i="13" s="1"/>
  <c r="AL65" i="11"/>
  <c r="AL30" i="13" s="1"/>
  <c r="N63" i="11"/>
  <c r="N28" i="13" s="1"/>
  <c r="C67" i="11"/>
  <c r="C32" i="13" s="1"/>
  <c r="Y65" i="11"/>
  <c r="Y30" i="13" s="1"/>
  <c r="G64" i="11"/>
  <c r="G29" i="13" s="1"/>
  <c r="L60" i="11"/>
  <c r="L25" i="13" s="1"/>
  <c r="F63" i="11"/>
  <c r="F28" i="13" s="1"/>
  <c r="E59" i="11"/>
  <c r="E24" i="13" s="1"/>
  <c r="O65" i="11"/>
  <c r="O30" i="13" s="1"/>
  <c r="T64" i="11"/>
  <c r="T29" i="13" s="1"/>
  <c r="AB66" i="11"/>
  <c r="AB31" i="13" s="1"/>
  <c r="M65" i="11"/>
  <c r="M30" i="13" s="1"/>
  <c r="AH64" i="11"/>
  <c r="AH29" i="13" s="1"/>
  <c r="AE64" i="11"/>
  <c r="AE29" i="13" s="1"/>
  <c r="AG66" i="11"/>
  <c r="AG31" i="13" s="1"/>
  <c r="AT66" i="11"/>
  <c r="AT31" i="13" s="1"/>
  <c r="AT65" i="11"/>
  <c r="AT30" i="13" s="1"/>
  <c r="V60" i="11"/>
  <c r="V25" i="13" s="1"/>
  <c r="S62" i="11"/>
  <c r="S27" i="13" s="1"/>
  <c r="U65" i="11"/>
  <c r="U30" i="13" s="1"/>
  <c r="AF61" i="11"/>
  <c r="AF26" i="13" s="1"/>
  <c r="K60" i="11"/>
  <c r="K25" i="13" s="1"/>
  <c r="AS61" i="11"/>
  <c r="AS26" i="13" s="1"/>
  <c r="Z66" i="11"/>
  <c r="Z31" i="13" s="1"/>
  <c r="C59" i="11"/>
  <c r="C24" i="13" s="1"/>
  <c r="Y59" i="11"/>
  <c r="Y24" i="13" s="1"/>
  <c r="Z67" i="11"/>
  <c r="Z32" i="13" s="1"/>
  <c r="AG61" i="11"/>
  <c r="AG26" i="13" s="1"/>
  <c r="AO63" i="11"/>
  <c r="AO28" i="13" s="1"/>
  <c r="R62" i="11"/>
  <c r="R27" i="13" s="1"/>
  <c r="T67" i="11"/>
  <c r="T32" i="13" s="1"/>
  <c r="AU67" i="11"/>
  <c r="AU32" i="13" s="1"/>
  <c r="T59" i="11"/>
  <c r="T24" i="13" s="1"/>
  <c r="N61" i="11"/>
  <c r="N26" i="13" s="1"/>
  <c r="D59" i="11"/>
  <c r="D24" i="13" s="1"/>
  <c r="AA65" i="11"/>
  <c r="AA30" i="13" s="1"/>
  <c r="X60" i="11"/>
  <c r="X25" i="13" s="1"/>
  <c r="D64" i="11"/>
  <c r="D29" i="13" s="1"/>
  <c r="Y60" i="11"/>
  <c r="Y25" i="13" s="1"/>
  <c r="X61" i="11"/>
  <c r="X26" i="13" s="1"/>
  <c r="S59" i="11"/>
  <c r="S24" i="13" s="1"/>
  <c r="F59" i="11"/>
  <c r="F24" i="13" s="1"/>
  <c r="K66" i="11"/>
  <c r="K31" i="13" s="1"/>
  <c r="O61" i="11"/>
  <c r="O26" i="13" s="1"/>
  <c r="T60" i="11"/>
  <c r="T25" i="13" s="1"/>
  <c r="J66" i="11"/>
  <c r="J31" i="13" s="1"/>
  <c r="M61" i="11"/>
  <c r="M26" i="13" s="1"/>
  <c r="K64" i="11"/>
  <c r="K29" i="13" s="1"/>
  <c r="AS67" i="11"/>
  <c r="AS32" i="13" s="1"/>
  <c r="AH59" i="11"/>
  <c r="AH24" i="13" s="1"/>
  <c r="AX61" i="11"/>
  <c r="AX26" i="13" s="1"/>
  <c r="Z61" i="11"/>
  <c r="Z26" i="13" s="1"/>
  <c r="AV64" i="11"/>
  <c r="AV29" i="13" s="1"/>
  <c r="AH67" i="11"/>
  <c r="AH32" i="13" s="1"/>
  <c r="AN62" i="11"/>
  <c r="AN27" i="13" s="1"/>
  <c r="AT60" i="11"/>
  <c r="AT25" i="13" s="1"/>
  <c r="AE59" i="11"/>
  <c r="AE24" i="13" s="1"/>
  <c r="AS65" i="11"/>
  <c r="AS30" i="13" s="1"/>
  <c r="U61" i="11"/>
  <c r="U26" i="13" s="1"/>
  <c r="Y64" i="11"/>
  <c r="Y29" i="13" s="1"/>
  <c r="X64" i="11"/>
  <c r="X29" i="13" s="1"/>
  <c r="AA66" i="11"/>
  <c r="AA31" i="13" s="1"/>
  <c r="AL66" i="11"/>
  <c r="AL31" i="13" s="1"/>
  <c r="F66" i="11"/>
  <c r="F31" i="13" s="1"/>
  <c r="AU59" i="11"/>
  <c r="AU24" i="13" s="1"/>
  <c r="D62" i="11"/>
  <c r="D27" i="13" s="1"/>
  <c r="AT67" i="11"/>
  <c r="AT32" i="13" s="1"/>
  <c r="J63" i="11"/>
  <c r="J28" i="13" s="1"/>
  <c r="AT61" i="11"/>
  <c r="AT26" i="13" s="1"/>
  <c r="AB61" i="11"/>
  <c r="AB26" i="13" s="1"/>
  <c r="L67" i="11"/>
  <c r="L32" i="13" s="1"/>
  <c r="G62" i="11"/>
  <c r="G27" i="13" s="1"/>
  <c r="AH63" i="11"/>
  <c r="AH28" i="13" s="1"/>
  <c r="AA60" i="11"/>
  <c r="AA25" i="13" s="1"/>
  <c r="D65" i="11"/>
  <c r="D30" i="13" s="1"/>
  <c r="D60" i="11"/>
  <c r="D25" i="13" s="1"/>
  <c r="AH62" i="11"/>
  <c r="AH27" i="13" s="1"/>
  <c r="H60" i="11"/>
  <c r="H25" i="13" s="1"/>
  <c r="G67" i="11"/>
  <c r="G32" i="13" s="1"/>
  <c r="L66" i="11"/>
  <c r="L31" i="13" s="1"/>
  <c r="K62" i="11"/>
  <c r="K27" i="13" s="1"/>
  <c r="Q64" i="11"/>
  <c r="Q29" i="13" s="1"/>
  <c r="AE61" i="11"/>
  <c r="AE26" i="13" s="1"/>
  <c r="R59" i="11"/>
  <c r="R24" i="13" s="1"/>
  <c r="Q66" i="11"/>
  <c r="Q31" i="13" s="1"/>
  <c r="AL60" i="11"/>
  <c r="AL25" i="13" s="1"/>
  <c r="Y63" i="11"/>
  <c r="Y28" i="13" s="1"/>
  <c r="AM62" i="11"/>
  <c r="AM27" i="13" s="1"/>
  <c r="L59" i="11"/>
  <c r="L24" i="13" s="1"/>
  <c r="O67" i="11"/>
  <c r="O32" i="13" s="1"/>
  <c r="AU61" i="11"/>
  <c r="AU26" i="13" s="1"/>
  <c r="AM61" i="11"/>
  <c r="AM26" i="13" s="1"/>
  <c r="R61" i="11"/>
  <c r="R26" i="13" s="1"/>
  <c r="G61" i="11"/>
  <c r="G26" i="13" s="1"/>
  <c r="AL64" i="11"/>
  <c r="AL29" i="13" s="1"/>
  <c r="AN63" i="11"/>
  <c r="AN28" i="13" s="1"/>
  <c r="AG67" i="11"/>
  <c r="AG32" i="13" s="1"/>
  <c r="S61" i="11"/>
  <c r="S26" i="13" s="1"/>
  <c r="M59" i="11"/>
  <c r="M24" i="13" s="1"/>
  <c r="AU65" i="11"/>
  <c r="AU30" i="13" s="1"/>
  <c r="AM63" i="11"/>
  <c r="AM28" i="13" s="1"/>
  <c r="R64" i="11"/>
  <c r="R29" i="13" s="1"/>
  <c r="S66" i="11"/>
  <c r="S31" i="13" s="1"/>
  <c r="AG65" i="11"/>
  <c r="AG30" i="13" s="1"/>
  <c r="AF65" i="11"/>
  <c r="AF30" i="13" s="1"/>
  <c r="D61" i="11"/>
  <c r="D26" i="13" s="1"/>
  <c r="AG63" i="11"/>
  <c r="AG28" i="13" s="1"/>
  <c r="X59" i="11"/>
  <c r="X24" i="13" s="1"/>
  <c r="O66" i="11"/>
  <c r="O31" i="13" s="1"/>
  <c r="AM65" i="11"/>
  <c r="AM30" i="13" s="1"/>
  <c r="AO66" i="11"/>
  <c r="AO31" i="13" s="1"/>
  <c r="G63" i="11"/>
  <c r="G28" i="13" s="1"/>
  <c r="L62" i="11"/>
  <c r="L27" i="13" s="1"/>
  <c r="Q63" i="11"/>
  <c r="Q28" i="13" s="1"/>
  <c r="U64" i="11"/>
  <c r="U29" i="13" s="1"/>
  <c r="AS64" i="11"/>
  <c r="AS29" i="13" s="1"/>
  <c r="S63" i="11"/>
  <c r="S28" i="13" s="1"/>
  <c r="S64" i="11"/>
  <c r="S29" i="13" s="1"/>
  <c r="F61" i="11"/>
  <c r="F26" i="13" s="1"/>
  <c r="AH66" i="11"/>
  <c r="AH31" i="13" s="1"/>
  <c r="AU66" i="11"/>
  <c r="AU31" i="13" s="1"/>
  <c r="M63" i="11"/>
  <c r="M28" i="13" s="1"/>
  <c r="F64" i="11"/>
  <c r="F29" i="13" s="1"/>
  <c r="Q59" i="11"/>
  <c r="Q24" i="13" s="1"/>
  <c r="R65" i="11"/>
  <c r="R30" i="13" s="1"/>
  <c r="J64" i="11"/>
  <c r="J29" i="13" s="1"/>
  <c r="O59" i="11"/>
  <c r="O24" i="13" s="1"/>
  <c r="C60" i="11"/>
  <c r="C25" i="13" s="1"/>
  <c r="F62" i="11"/>
  <c r="F27" i="13" s="1"/>
  <c r="AV66" i="11"/>
  <c r="AV31" i="13" s="1"/>
  <c r="X67" i="11"/>
  <c r="X32" i="13" s="1"/>
  <c r="AA63" i="11"/>
  <c r="AA28" i="13" s="1"/>
  <c r="J65" i="11"/>
  <c r="J30" i="13" s="1"/>
  <c r="Z62" i="11"/>
  <c r="Z27" i="13" s="1"/>
  <c r="AA64" i="11"/>
  <c r="AA29" i="13" s="1"/>
  <c r="AW65" i="11"/>
  <c r="AW30" i="13" s="1"/>
  <c r="H65" i="11"/>
  <c r="H30" i="13" s="1"/>
  <c r="AE63" i="11"/>
  <c r="AE28" i="13" s="1"/>
  <c r="O63" i="11"/>
  <c r="O28" i="13" s="1"/>
  <c r="C61" i="11"/>
  <c r="C26" i="13" s="1"/>
  <c r="AB64" i="11"/>
  <c r="AB29" i="13" s="1"/>
  <c r="AW66" i="11"/>
  <c r="AW31" i="13" s="1"/>
  <c r="N59" i="11"/>
  <c r="N24" i="13" s="1"/>
  <c r="X63" i="11"/>
  <c r="X28" i="13" s="1"/>
  <c r="J67" i="11"/>
  <c r="J32" i="13" s="1"/>
  <c r="AO65" i="11"/>
  <c r="AO30" i="13" s="1"/>
  <c r="E65" i="11"/>
  <c r="E30" i="13" s="1"/>
  <c r="O62" i="11"/>
  <c r="O27" i="13" s="1"/>
  <c r="AX67" i="11"/>
  <c r="AX32" i="13" s="1"/>
  <c r="C62" i="11"/>
  <c r="C27" i="13" s="1"/>
  <c r="G59" i="11"/>
  <c r="G24" i="13" s="1"/>
  <c r="Q62" i="11"/>
  <c r="Q27" i="13" s="1"/>
  <c r="V64" i="11"/>
  <c r="V29" i="13" s="1"/>
  <c r="U60" i="11"/>
  <c r="U25" i="13" s="1"/>
  <c r="AB63" i="11"/>
  <c r="AB28" i="13" s="1"/>
  <c r="AE67" i="11"/>
  <c r="AE32" i="13" s="1"/>
  <c r="S60" i="11"/>
  <c r="S25" i="13" s="1"/>
  <c r="R67" i="11"/>
  <c r="R32" i="13" s="1"/>
  <c r="AF60" i="11"/>
  <c r="AF25" i="13" s="1"/>
  <c r="AY61" i="11"/>
  <c r="AY26" i="13" s="1"/>
  <c r="T66" i="11"/>
  <c r="T31" i="13" s="1"/>
  <c r="X62" i="11"/>
  <c r="X27" i="13" s="1"/>
  <c r="AM59" i="11"/>
  <c r="AM24" i="13" s="1"/>
  <c r="AN67" i="11"/>
  <c r="AN32" i="13" s="1"/>
  <c r="AE60" i="11"/>
  <c r="AE25" i="13" s="1"/>
  <c r="AE62" i="11"/>
  <c r="AE27" i="13" s="1"/>
  <c r="AB60" i="11"/>
  <c r="AB25" i="13" s="1"/>
  <c r="AX64" i="11"/>
  <c r="AX29" i="13" s="1"/>
  <c r="AS62" i="11"/>
  <c r="AS27" i="13" s="1"/>
  <c r="AO59" i="11"/>
  <c r="AO24" i="13" s="1"/>
  <c r="Y62" i="11"/>
  <c r="Y27" i="13" s="1"/>
  <c r="AT62" i="11"/>
  <c r="AT27" i="13" s="1"/>
  <c r="C64" i="11"/>
  <c r="C29" i="13" s="1"/>
  <c r="AY64" i="11"/>
  <c r="AY29" i="13" s="1"/>
  <c r="AX60" i="11"/>
  <c r="AX25" i="13" s="1"/>
  <c r="Q67" i="11"/>
  <c r="Q32" i="13" s="1"/>
  <c r="AA59" i="11"/>
  <c r="AA24" i="13" s="1"/>
  <c r="L65" i="11"/>
  <c r="L30" i="13" s="1"/>
  <c r="C66" i="11"/>
  <c r="C31" i="13" s="1"/>
  <c r="M64" i="11"/>
  <c r="M29" i="13" s="1"/>
  <c r="H59" i="11"/>
  <c r="H24" i="13" s="1"/>
  <c r="AV62" i="11"/>
  <c r="AV27" i="13" s="1"/>
  <c r="AT59" i="11"/>
  <c r="AT24" i="13" s="1"/>
  <c r="AV65" i="11"/>
  <c r="AV30" i="13" s="1"/>
  <c r="F67" i="11"/>
  <c r="F32" i="13" s="1"/>
  <c r="M66" i="11"/>
  <c r="M31" i="13" s="1"/>
  <c r="M62" i="11"/>
  <c r="M27" i="13" s="1"/>
  <c r="AL62" i="11"/>
  <c r="AL27" i="13" s="1"/>
  <c r="S67" i="11"/>
  <c r="S32" i="13" s="1"/>
  <c r="AS60" i="11"/>
  <c r="AS25" i="13" s="1"/>
  <c r="D66" i="11"/>
  <c r="D31" i="13" s="1"/>
  <c r="R63" i="11"/>
  <c r="R28" i="13" s="1"/>
  <c r="AV60" i="11"/>
  <c r="AV25" i="13" s="1"/>
  <c r="F65" i="11"/>
  <c r="F30" i="13" s="1"/>
  <c r="Z64" i="11"/>
  <c r="Z29" i="13" s="1"/>
  <c r="AW61" i="11"/>
  <c r="AW26" i="13" s="1"/>
  <c r="AF59" i="11"/>
  <c r="AF24" i="13" s="1"/>
  <c r="Y67" i="11"/>
  <c r="Y32" i="13" s="1"/>
  <c r="AF62" i="11"/>
  <c r="AF27" i="13" s="1"/>
  <c r="R60" i="11"/>
  <c r="R25" i="13" s="1"/>
  <c r="AO67" i="11"/>
  <c r="AO32" i="13" s="1"/>
  <c r="Q61" i="11"/>
  <c r="Q26" i="13" s="1"/>
  <c r="J61" i="11"/>
  <c r="J26" i="13" s="1"/>
  <c r="AL61" i="11"/>
  <c r="AL26" i="13" s="1"/>
  <c r="AY66" i="11"/>
  <c r="AY31" i="13" s="1"/>
  <c r="AX65" i="11"/>
  <c r="AX30" i="13" s="1"/>
  <c r="AW62" i="11"/>
  <c r="AW27" i="13" s="1"/>
  <c r="AH61" i="11"/>
  <c r="AH26" i="13" s="1"/>
  <c r="Z63" i="11"/>
  <c r="Z28" i="13" s="1"/>
  <c r="AF63" i="11"/>
  <c r="AF28" i="13" s="1"/>
  <c r="AX62" i="11"/>
  <c r="AX27" i="13" s="1"/>
  <c r="E62" i="11"/>
  <c r="E27" i="13" s="1"/>
  <c r="D63" i="11"/>
  <c r="D28" i="13" s="1"/>
  <c r="U62" i="11"/>
  <c r="U27" i="13" s="1"/>
  <c r="S65" i="11"/>
  <c r="S30" i="13" s="1"/>
  <c r="L61" i="11"/>
  <c r="L26" i="13" s="1"/>
  <c r="N60" i="11"/>
  <c r="N25" i="13" s="1"/>
  <c r="AH60" i="11"/>
  <c r="AH25" i="13" s="1"/>
  <c r="X66" i="11"/>
  <c r="X31" i="13" s="1"/>
  <c r="AN60" i="11"/>
  <c r="AN25" i="13" s="1"/>
  <c r="AX66" i="11"/>
  <c r="AX31" i="13" s="1"/>
  <c r="E64" i="11"/>
  <c r="E29" i="13" s="1"/>
  <c r="AG60" i="11"/>
  <c r="AG25" i="13" s="1"/>
  <c r="AS66" i="11"/>
  <c r="AS31" i="13" s="1"/>
  <c r="E67" i="11"/>
  <c r="E32" i="13" s="1"/>
  <c r="J60" i="11"/>
  <c r="J25" i="13" s="1"/>
  <c r="Z59" i="11"/>
  <c r="Z24" i="13" s="1"/>
  <c r="Z65" i="11"/>
  <c r="Z30" i="13" s="1"/>
  <c r="H63" i="11"/>
  <c r="H28" i="13" s="1"/>
  <c r="E66" i="11"/>
  <c r="E31" i="13" s="1"/>
  <c r="V59" i="11"/>
  <c r="V24" i="13" s="1"/>
  <c r="H67" i="11"/>
  <c r="H32" i="13" s="1"/>
  <c r="H61" i="11"/>
  <c r="H26" i="13" s="1"/>
  <c r="AS59" i="11"/>
  <c r="AS24" i="13" s="1"/>
  <c r="O64" i="11"/>
  <c r="O29" i="13" s="1"/>
  <c r="AM60" i="11"/>
  <c r="AM25" i="13" s="1"/>
  <c r="AO61" i="11"/>
  <c r="AO26" i="13" s="1"/>
  <c r="Z60" i="11"/>
  <c r="Z25" i="13" s="1"/>
  <c r="AM64" i="11"/>
  <c r="AM29" i="13" s="1"/>
  <c r="T63" i="11"/>
  <c r="T28" i="13" s="1"/>
  <c r="Q65" i="11"/>
  <c r="Q30" i="13" s="1"/>
  <c r="AN64" i="11"/>
  <c r="AN29" i="13" s="1"/>
  <c r="E60" i="11"/>
  <c r="E25" i="13" s="1"/>
  <c r="AN65" i="11"/>
  <c r="AN30" i="13" s="1"/>
  <c r="E61" i="11"/>
  <c r="E26" i="13" s="1"/>
  <c r="N66" i="11"/>
  <c r="N31" i="13" s="1"/>
  <c r="AB59" i="11"/>
  <c r="AB24" i="13" s="1"/>
  <c r="AV67" i="11"/>
  <c r="AV32" i="13" s="1"/>
  <c r="AY62" i="11"/>
  <c r="AY27" i="13" s="1"/>
  <c r="AV59" i="11"/>
  <c r="AV24" i="13" s="1"/>
  <c r="AY60" i="11"/>
  <c r="AY25" i="13" s="1"/>
  <c r="O60" i="11"/>
  <c r="O25" i="13" s="1"/>
  <c r="AH65" i="11"/>
  <c r="AH30" i="13" s="1"/>
  <c r="K67" i="11"/>
  <c r="K32" i="13" s="1"/>
  <c r="AY67" i="11"/>
  <c r="AY32" i="13" s="1"/>
  <c r="V62" i="11"/>
  <c r="V27" i="13" s="1"/>
  <c r="N62" i="11"/>
  <c r="N27" i="13" s="1"/>
  <c r="AG62" i="11"/>
  <c r="AG27" i="13" s="1"/>
  <c r="AT64" i="11"/>
  <c r="AT29" i="13" s="1"/>
  <c r="AW59" i="11"/>
  <c r="AW24" i="13" s="1"/>
  <c r="AB65" i="11"/>
  <c r="AB30" i="13" s="1"/>
  <c r="V66" i="11"/>
  <c r="V31" i="13" s="1"/>
  <c r="H66" i="11"/>
  <c r="H31" i="13" s="1"/>
  <c r="AW60" i="11"/>
  <c r="AW25" i="13" s="1"/>
  <c r="AF67" i="11"/>
  <c r="AF32" i="13" s="1"/>
  <c r="AY65" i="11"/>
  <c r="AY30" i="13" s="1"/>
  <c r="J62" i="11"/>
  <c r="J27" i="13" s="1"/>
  <c r="U67" i="11"/>
  <c r="U32" i="13" s="1"/>
  <c r="AE66" i="11"/>
  <c r="AE31" i="13" s="1"/>
  <c r="AM66" i="11"/>
  <c r="AM31" i="13" s="1"/>
  <c r="X65" i="11"/>
  <c r="X30" i="13" s="1"/>
  <c r="AG59" i="11"/>
  <c r="AG24" i="13" s="1"/>
  <c r="N64" i="11"/>
  <c r="N29" i="13" s="1"/>
  <c r="C65" i="11"/>
  <c r="C30" i="13" s="1"/>
  <c r="K63" i="11"/>
  <c r="K28" i="13" s="1"/>
  <c r="AW64" i="11"/>
  <c r="AW29" i="13" s="1"/>
  <c r="L64" i="11"/>
  <c r="L29" i="13" s="1"/>
  <c r="Q60" i="11"/>
  <c r="Q25" i="13" s="1"/>
  <c r="AO64" i="11"/>
  <c r="AO29" i="13" s="1"/>
  <c r="AX59" i="11"/>
  <c r="AX24" i="13" s="1"/>
  <c r="AF64" i="11"/>
  <c r="AF29" i="13" s="1"/>
  <c r="AA61" i="11"/>
  <c r="AA26" i="13" s="1"/>
  <c r="AL59" i="11"/>
  <c r="AL24" i="13" s="1"/>
  <c r="H62" i="11"/>
  <c r="H27" i="13" s="1"/>
  <c r="N67" i="11"/>
  <c r="N32" i="13" s="1"/>
  <c r="AO62" i="11"/>
  <c r="AO27" i="13" s="1"/>
  <c r="AN59" i="11"/>
  <c r="AN24" i="13" s="1"/>
  <c r="K65" i="11"/>
  <c r="K30" i="13" s="1"/>
  <c r="U63" i="11"/>
  <c r="U28" i="13" s="1"/>
  <c r="AA67" i="11"/>
  <c r="AA32" i="13" s="1"/>
  <c r="Y61" i="11"/>
  <c r="Y26" i="13" s="1"/>
  <c r="M67" i="11"/>
  <c r="M32" i="13" s="1"/>
  <c r="V63" i="11"/>
  <c r="V28" i="13" s="1"/>
  <c r="E63" i="11"/>
  <c r="E28" i="13" s="1"/>
  <c r="K59" i="11"/>
  <c r="K24" i="13" s="1"/>
  <c r="AU60" i="11"/>
  <c r="AU25" i="13" s="1"/>
  <c r="AV61" i="11"/>
  <c r="AV26" i="13" s="1"/>
  <c r="T65" i="11"/>
  <c r="T30" i="13" s="1"/>
  <c r="AW67" i="11"/>
  <c r="AW32" i="13" s="1"/>
  <c r="F60" i="11"/>
  <c r="F25" i="13" s="1"/>
  <c r="AG64" i="11"/>
  <c r="AG29" i="13" s="1"/>
  <c r="AO60" i="11"/>
  <c r="AO25" i="13" s="1"/>
  <c r="AN61" i="11"/>
  <c r="AN26" i="13" s="1"/>
  <c r="J59" i="11"/>
  <c r="J24" i="13" s="1"/>
  <c r="T62" i="11"/>
  <c r="T27" i="13" s="1"/>
  <c r="AU62" i="11"/>
  <c r="AU27" i="13" s="1"/>
  <c r="AL63" i="11"/>
  <c r="AL28" i="13" s="1"/>
  <c r="K61" i="11"/>
  <c r="K26" i="13" s="1"/>
  <c r="U59" i="11"/>
  <c r="U24" i="13" s="1"/>
  <c r="AA62" i="11"/>
  <c r="AA27" i="13" s="1"/>
  <c r="R66" i="11"/>
  <c r="R31" i="13" s="1"/>
  <c r="D67" i="11"/>
  <c r="D32" i="13" s="1"/>
  <c r="U66" i="11"/>
  <c r="U31" i="13" s="1"/>
  <c r="C63" i="11"/>
  <c r="C28" i="13" s="1"/>
  <c r="AE65" i="11"/>
  <c r="AE30" i="13" s="1"/>
  <c r="G60" i="11"/>
  <c r="G25" i="13" s="1"/>
  <c r="AY59" i="11"/>
  <c r="AY24" i="13" s="1"/>
  <c r="AB67" i="11"/>
  <c r="AB32" i="13" s="1"/>
  <c r="AL67" i="11"/>
  <c r="AL32" i="13" s="1"/>
  <c r="V65" i="11"/>
  <c r="V30" i="13" s="1"/>
  <c r="L63" i="11"/>
  <c r="L28" i="13" s="1"/>
  <c r="M60" i="11"/>
  <c r="M25" i="13" s="1"/>
  <c r="T61" i="11"/>
  <c r="T26" i="13" s="1"/>
  <c r="AU64" i="11"/>
  <c r="AU29" i="13" s="1"/>
  <c r="AN66" i="11"/>
  <c r="AN31" i="13" s="1"/>
  <c r="AM67" i="11"/>
  <c r="AM32" i="13" s="1"/>
  <c r="G65" i="11"/>
  <c r="G30" i="13" s="1"/>
  <c r="N65" i="11"/>
  <c r="N30" i="13" s="1"/>
  <c r="G66" i="11"/>
  <c r="G31" i="13" s="1"/>
  <c r="V67" i="11"/>
  <c r="V32" i="13" s="1"/>
  <c r="AF66" i="11"/>
  <c r="AF31" i="13" s="1"/>
  <c r="V61" i="11"/>
  <c r="V26" i="13" s="1"/>
  <c r="H64" i="11"/>
  <c r="H29" i="13" s="1"/>
  <c r="Y66" i="11"/>
  <c r="Y31" i="13" s="1"/>
  <c r="AB62" i="11"/>
  <c r="AB27" i="13" s="1"/>
  <c r="G11" i="15"/>
  <c r="B12" i="15"/>
  <c r="B7" i="15"/>
  <c r="D10" i="15"/>
  <c r="B6" i="15"/>
  <c r="G9" i="15"/>
  <c r="G12" i="15"/>
  <c r="C12" i="15"/>
  <c r="C7" i="15"/>
  <c r="E5" i="15"/>
  <c r="B11" i="15"/>
  <c r="E11" i="15"/>
  <c r="H4" i="15"/>
  <c r="D12" i="15"/>
  <c r="D7" i="15"/>
  <c r="E10" i="15"/>
  <c r="C6" i="15"/>
  <c r="D6" i="15"/>
  <c r="H5" i="15"/>
  <c r="E12" i="15"/>
  <c r="E7" i="15"/>
  <c r="D5" i="15"/>
  <c r="G6" i="15"/>
  <c r="G7" i="15"/>
  <c r="C11" i="15"/>
  <c r="H6" i="15"/>
  <c r="F4" i="15"/>
  <c r="B8" i="15"/>
  <c r="H7" i="15"/>
  <c r="F5" i="15"/>
  <c r="C8" i="15"/>
  <c r="G8" i="15"/>
  <c r="D11" i="15"/>
  <c r="H8" i="15"/>
  <c r="F6" i="15"/>
  <c r="D8" i="15"/>
  <c r="E6" i="15"/>
  <c r="H9" i="15"/>
  <c r="F7" i="15"/>
  <c r="E8" i="15"/>
  <c r="H10" i="15"/>
  <c r="F8" i="15"/>
  <c r="B9" i="15"/>
  <c r="B4" i="15"/>
  <c r="H11" i="15"/>
  <c r="F9" i="15"/>
  <c r="C9" i="15"/>
  <c r="C4" i="15"/>
  <c r="H12" i="15"/>
  <c r="F10" i="15"/>
  <c r="D9" i="15"/>
  <c r="D4" i="15"/>
  <c r="G5" i="15"/>
  <c r="G10" i="15"/>
  <c r="F11" i="15"/>
  <c r="E9" i="15"/>
  <c r="E4" i="15"/>
  <c r="F12" i="15"/>
  <c r="B10" i="15"/>
  <c r="B5" i="15"/>
  <c r="G4" i="15"/>
  <c r="C10" i="15"/>
  <c r="C5" i="15"/>
  <c r="AS4" i="11"/>
  <c r="AX12" i="11"/>
  <c r="AX12" i="13" s="1"/>
  <c r="Y12" i="11"/>
  <c r="Y12" i="13" s="1"/>
  <c r="AA10" i="11"/>
  <c r="AA10" i="13" s="1"/>
  <c r="R11" i="11"/>
  <c r="R11" i="13" s="1"/>
  <c r="V4" i="11"/>
  <c r="V4" i="13" s="1"/>
  <c r="L7" i="11"/>
  <c r="L7" i="13" s="1"/>
  <c r="AO12" i="11"/>
  <c r="AO12" i="13" s="1"/>
  <c r="M10" i="11"/>
  <c r="M10" i="13" s="1"/>
  <c r="AS12" i="11"/>
  <c r="AS12" i="13" s="1"/>
  <c r="L5" i="11"/>
  <c r="L5" i="13" s="1"/>
  <c r="K9" i="11"/>
  <c r="K9" i="13" s="1"/>
  <c r="AL12" i="11"/>
  <c r="AL12" i="13" s="1"/>
  <c r="AA11" i="11"/>
  <c r="AA11" i="13" s="1"/>
  <c r="AB12" i="11"/>
  <c r="AB12" i="13" s="1"/>
  <c r="O6" i="11"/>
  <c r="O6" i="13" s="1"/>
  <c r="T11" i="11"/>
  <c r="T11" i="13" s="1"/>
  <c r="M8" i="11"/>
  <c r="M8" i="13" s="1"/>
  <c r="AX10" i="11"/>
  <c r="AX10" i="13" s="1"/>
  <c r="Q12" i="11"/>
  <c r="Q12" i="13" s="1"/>
  <c r="R12" i="11"/>
  <c r="R12" i="13" s="1"/>
  <c r="AN11" i="11"/>
  <c r="AN11" i="13" s="1"/>
  <c r="AV11" i="11"/>
  <c r="AV11" i="13" s="1"/>
  <c r="AM10" i="11"/>
  <c r="AM10" i="13" s="1"/>
  <c r="AS11" i="11"/>
  <c r="AS11" i="13" s="1"/>
  <c r="U4" i="11"/>
  <c r="U4" i="13" s="1"/>
  <c r="T10" i="11"/>
  <c r="T10" i="13" s="1"/>
  <c r="L12" i="11"/>
  <c r="L12" i="13" s="1"/>
  <c r="M7" i="11"/>
  <c r="M7" i="13" s="1"/>
  <c r="O12" i="11"/>
  <c r="O12" i="13" s="1"/>
  <c r="V11" i="11"/>
  <c r="V11" i="13" s="1"/>
  <c r="U11" i="11"/>
  <c r="U11" i="13" s="1"/>
  <c r="S9" i="11"/>
  <c r="S9" i="13" s="1"/>
  <c r="AV12" i="11"/>
  <c r="AV12" i="13" s="1"/>
  <c r="AY12" i="11"/>
  <c r="AY12" i="13" s="1"/>
  <c r="R4" i="11"/>
  <c r="R4" i="13" s="1"/>
  <c r="AN12" i="11"/>
  <c r="AN12" i="13" s="1"/>
  <c r="M5" i="11"/>
  <c r="M5" i="13" s="1"/>
  <c r="AF12" i="11"/>
  <c r="AF12" i="13" s="1"/>
  <c r="AF10" i="11"/>
  <c r="AF10" i="13" s="1"/>
  <c r="U7" i="11"/>
  <c r="U7" i="13" s="1"/>
  <c r="AB11" i="11"/>
  <c r="AB11" i="13" s="1"/>
  <c r="N9" i="11"/>
  <c r="N9" i="13" s="1"/>
  <c r="X12" i="11"/>
  <c r="X12" i="13" s="1"/>
  <c r="U12" i="11"/>
  <c r="U12" i="13" s="1"/>
  <c r="N6" i="11"/>
  <c r="N6" i="13" s="1"/>
  <c r="Q11" i="11"/>
  <c r="Q11" i="13" s="1"/>
  <c r="K6" i="11"/>
  <c r="K6" i="13" s="1"/>
  <c r="O7" i="11"/>
  <c r="O7" i="13" s="1"/>
  <c r="V10" i="11"/>
  <c r="V10" i="13" s="1"/>
  <c r="AO10" i="11"/>
  <c r="AO10" i="13" s="1"/>
  <c r="O4" i="11"/>
  <c r="O4" i="13" s="1"/>
  <c r="Z12" i="11"/>
  <c r="Z12" i="13" s="1"/>
  <c r="L9" i="11"/>
  <c r="L9" i="13" s="1"/>
  <c r="AF11" i="11"/>
  <c r="AF11" i="13" s="1"/>
  <c r="T12" i="11"/>
  <c r="T12" i="13" s="1"/>
  <c r="L6" i="11"/>
  <c r="L6" i="13" s="1"/>
  <c r="N5" i="11"/>
  <c r="N5" i="13" s="1"/>
  <c r="O11" i="11"/>
  <c r="O11" i="13" s="1"/>
  <c r="AN10" i="11"/>
  <c r="AN10" i="13" s="1"/>
  <c r="AL11" i="11"/>
  <c r="AL11" i="13" s="1"/>
  <c r="Z10" i="11"/>
  <c r="Z10" i="13" s="1"/>
  <c r="U6" i="11"/>
  <c r="U6" i="13" s="1"/>
  <c r="AY10" i="11"/>
  <c r="AY10" i="13" s="1"/>
  <c r="S5" i="11"/>
  <c r="S5" i="13" s="1"/>
  <c r="AG10" i="11"/>
  <c r="AG10" i="13" s="1"/>
  <c r="K7" i="11"/>
  <c r="K7" i="13" s="1"/>
  <c r="AL10" i="11"/>
  <c r="AL10" i="13" s="1"/>
  <c r="N8" i="11"/>
  <c r="N8" i="13" s="1"/>
  <c r="T7" i="11"/>
  <c r="T7" i="13" s="1"/>
  <c r="K11" i="11"/>
  <c r="K11" i="13" s="1"/>
  <c r="AH11" i="11"/>
  <c r="AH11" i="13" s="1"/>
  <c r="AV10" i="11"/>
  <c r="AV10" i="13" s="1"/>
  <c r="S8" i="11"/>
  <c r="S8" i="13" s="1"/>
  <c r="R9" i="11"/>
  <c r="R9" i="13" s="1"/>
  <c r="O9" i="11"/>
  <c r="O9" i="13" s="1"/>
  <c r="L8" i="11"/>
  <c r="L8" i="13" s="1"/>
  <c r="AA12" i="11"/>
  <c r="AA12" i="13" s="1"/>
  <c r="R6" i="11"/>
  <c r="R6" i="13" s="1"/>
  <c r="S11" i="11"/>
  <c r="S11" i="13" s="1"/>
  <c r="U10" i="11"/>
  <c r="U10" i="13" s="1"/>
  <c r="J11" i="11"/>
  <c r="J11" i="13" s="1"/>
  <c r="V5" i="11"/>
  <c r="V5" i="13" s="1"/>
  <c r="T6" i="11"/>
  <c r="T6" i="13" s="1"/>
  <c r="K5" i="11"/>
  <c r="K5" i="13" s="1"/>
  <c r="AE12" i="11"/>
  <c r="AE12" i="13" s="1"/>
  <c r="V12" i="11"/>
  <c r="V12" i="13" s="1"/>
  <c r="O8" i="11"/>
  <c r="O8" i="13" s="1"/>
  <c r="Z11" i="11"/>
  <c r="Z11" i="13" s="1"/>
  <c r="AU11" i="11"/>
  <c r="AU11" i="13" s="1"/>
  <c r="V9" i="11"/>
  <c r="V9" i="13" s="1"/>
  <c r="AU12" i="11"/>
  <c r="AU12" i="13" s="1"/>
  <c r="AB10" i="11"/>
  <c r="AB10" i="13" s="1"/>
  <c r="AX11" i="11"/>
  <c r="AX11" i="13" s="1"/>
  <c r="K8" i="11"/>
  <c r="K8" i="13" s="1"/>
  <c r="L4" i="11"/>
  <c r="L4" i="13" s="1"/>
  <c r="AH12" i="11"/>
  <c r="AH12" i="13" s="1"/>
  <c r="N10" i="11"/>
  <c r="N10" i="13" s="1"/>
  <c r="Y11" i="11"/>
  <c r="Y11" i="13" s="1"/>
  <c r="AE10" i="11"/>
  <c r="AE10" i="13" s="1"/>
  <c r="J12" i="11"/>
  <c r="J12" i="13" s="1"/>
  <c r="U8" i="11"/>
  <c r="U8" i="13" s="1"/>
  <c r="R8" i="11"/>
  <c r="R8" i="13" s="1"/>
  <c r="S4" i="11"/>
  <c r="S4" i="13" s="1"/>
  <c r="R10" i="11"/>
  <c r="R10" i="13" s="1"/>
  <c r="AU10" i="11"/>
  <c r="AU10" i="13" s="1"/>
  <c r="AH10" i="11"/>
  <c r="AH10" i="13" s="1"/>
  <c r="L11" i="11"/>
  <c r="L11" i="13" s="1"/>
  <c r="AW12" i="11"/>
  <c r="AW12" i="13" s="1"/>
  <c r="N12" i="11"/>
  <c r="N12" i="13" s="1"/>
  <c r="K12" i="11"/>
  <c r="K12" i="13" s="1"/>
  <c r="O5" i="11"/>
  <c r="O5" i="13" s="1"/>
  <c r="K10" i="11"/>
  <c r="K10" i="13" s="1"/>
  <c r="L10" i="11"/>
  <c r="L10" i="13" s="1"/>
  <c r="AT11" i="11"/>
  <c r="AT11" i="13" s="1"/>
  <c r="S10" i="11"/>
  <c r="S10" i="13" s="1"/>
  <c r="N4" i="11"/>
  <c r="N4" i="13" s="1"/>
  <c r="M12" i="11"/>
  <c r="M12" i="13" s="1"/>
  <c r="X10" i="11"/>
  <c r="X10" i="13" s="1"/>
  <c r="J4" i="11"/>
  <c r="J4" i="13" s="1"/>
  <c r="V6" i="11"/>
  <c r="V6" i="13" s="1"/>
  <c r="AT10" i="11"/>
  <c r="AT10" i="13" s="1"/>
  <c r="T5" i="11"/>
  <c r="T5" i="13" s="1"/>
  <c r="U5" i="11"/>
  <c r="U5" i="13" s="1"/>
  <c r="R5" i="11"/>
  <c r="R5" i="13" s="1"/>
  <c r="M9" i="11"/>
  <c r="M9" i="13" s="1"/>
  <c r="AW10" i="11"/>
  <c r="AW10" i="13" s="1"/>
  <c r="AW11" i="11"/>
  <c r="AW11" i="13" s="1"/>
  <c r="AS10" i="11"/>
  <c r="AS10" i="13" s="1"/>
  <c r="M6" i="11"/>
  <c r="M6" i="13" s="1"/>
  <c r="N11" i="11"/>
  <c r="N11" i="13" s="1"/>
  <c r="R7" i="11"/>
  <c r="R7" i="13" s="1"/>
  <c r="T9" i="11"/>
  <c r="T9" i="13" s="1"/>
  <c r="U9" i="11"/>
  <c r="U9" i="13" s="1"/>
  <c r="V8" i="11"/>
  <c r="V8" i="13" s="1"/>
  <c r="S12" i="11"/>
  <c r="S12" i="13" s="1"/>
  <c r="M4" i="11"/>
  <c r="M4" i="13" s="1"/>
  <c r="AM12" i="11"/>
  <c r="AM12" i="13" s="1"/>
  <c r="AY11" i="11"/>
  <c r="AY11" i="13" s="1"/>
  <c r="K4" i="11"/>
  <c r="K4" i="13" s="1"/>
  <c r="AG12" i="11"/>
  <c r="AG12" i="13" s="1"/>
  <c r="T8" i="11"/>
  <c r="T8" i="13" s="1"/>
  <c r="J9" i="11"/>
  <c r="J9" i="13" s="1"/>
  <c r="AT12" i="11"/>
  <c r="AT12" i="13" s="1"/>
  <c r="X11" i="11"/>
  <c r="X11" i="13" s="1"/>
  <c r="Y10" i="11"/>
  <c r="Y10" i="13" s="1"/>
  <c r="AE11" i="11"/>
  <c r="AE11" i="13" s="1"/>
  <c r="V7" i="11"/>
  <c r="V7" i="13" s="1"/>
  <c r="M11" i="11"/>
  <c r="M11" i="13" s="1"/>
  <c r="AM11" i="11"/>
  <c r="AM11" i="13" s="1"/>
  <c r="AO11" i="11"/>
  <c r="AO11" i="13" s="1"/>
  <c r="T4" i="11"/>
  <c r="T4" i="13" s="1"/>
  <c r="AG11" i="11"/>
  <c r="AG11" i="13" s="1"/>
  <c r="S7" i="11"/>
  <c r="S7" i="13" s="1"/>
  <c r="N7" i="11"/>
  <c r="N7" i="13" s="1"/>
  <c r="Q9" i="11"/>
  <c r="Q9" i="13" s="1"/>
  <c r="Q6" i="11"/>
  <c r="Q6" i="13" s="1"/>
  <c r="AU9" i="11"/>
  <c r="AU9" i="13" s="1"/>
  <c r="E11" i="11"/>
  <c r="E11" i="13" s="1"/>
  <c r="H8" i="11"/>
  <c r="H8" i="13" s="1"/>
  <c r="AX5" i="11"/>
  <c r="AX5" i="13" s="1"/>
  <c r="G11" i="11"/>
  <c r="G11" i="13" s="1"/>
  <c r="D7" i="11"/>
  <c r="D7" i="13" s="1"/>
  <c r="H12" i="11"/>
  <c r="H12" i="13" s="1"/>
  <c r="AV9" i="11"/>
  <c r="AV9" i="13" s="1"/>
  <c r="F11" i="11"/>
  <c r="F11" i="13" s="1"/>
  <c r="C9" i="11"/>
  <c r="C9" i="13" s="1"/>
  <c r="AY5" i="11"/>
  <c r="AY5" i="13" s="1"/>
  <c r="AS6" i="11"/>
  <c r="AS6" i="13" s="1"/>
  <c r="AL8" i="11"/>
  <c r="AL8" i="13" s="1"/>
  <c r="AG7" i="11"/>
  <c r="AG7" i="13" s="1"/>
  <c r="AX6" i="11"/>
  <c r="AX6" i="13" s="1"/>
  <c r="D10" i="11"/>
  <c r="D10" i="13" s="1"/>
  <c r="C8" i="11"/>
  <c r="C8" i="13" s="1"/>
  <c r="AE6" i="11"/>
  <c r="AE6" i="13" s="1"/>
  <c r="AW9" i="11"/>
  <c r="AW9" i="13" s="1"/>
  <c r="D9" i="11"/>
  <c r="D9" i="13" s="1"/>
  <c r="AT7" i="11"/>
  <c r="AT7" i="13" s="1"/>
  <c r="X6" i="11"/>
  <c r="X6" i="13" s="1"/>
  <c r="AX9" i="11"/>
  <c r="AX9" i="13" s="1"/>
  <c r="AE8" i="11"/>
  <c r="AE8" i="13" s="1"/>
  <c r="H11" i="11"/>
  <c r="H11" i="13" s="1"/>
  <c r="E9" i="11"/>
  <c r="E9" i="13" s="1"/>
  <c r="AT6" i="11"/>
  <c r="AT6" i="13" s="1"/>
  <c r="AT8" i="11"/>
  <c r="AT8" i="13" s="1"/>
  <c r="E12" i="11"/>
  <c r="E12" i="13" s="1"/>
  <c r="E7" i="11"/>
  <c r="E7" i="13" s="1"/>
  <c r="AW7" i="11"/>
  <c r="AW7" i="13" s="1"/>
  <c r="D8" i="11"/>
  <c r="D8" i="13" s="1"/>
  <c r="AY9" i="11"/>
  <c r="AY9" i="13" s="1"/>
  <c r="AF8" i="11"/>
  <c r="AF8" i="13" s="1"/>
  <c r="X7" i="11"/>
  <c r="X7" i="13" s="1"/>
  <c r="F9" i="11"/>
  <c r="F9" i="13" s="1"/>
  <c r="AU6" i="11"/>
  <c r="AU6" i="13" s="1"/>
  <c r="AE7" i="11"/>
  <c r="AE7" i="13" s="1"/>
  <c r="G9" i="11"/>
  <c r="G9" i="13" s="1"/>
  <c r="AV6" i="11"/>
  <c r="AV6" i="13" s="1"/>
  <c r="AW6" i="11"/>
  <c r="AW6" i="13" s="1"/>
  <c r="G7" i="11"/>
  <c r="G7" i="13" s="1"/>
  <c r="F8" i="11"/>
  <c r="F8" i="13" s="1"/>
  <c r="Q8" i="11"/>
  <c r="Q8" i="13" s="1"/>
  <c r="D11" i="11"/>
  <c r="D11" i="13" s="1"/>
  <c r="H10" i="11"/>
  <c r="H10" i="13" s="1"/>
  <c r="AG8" i="11"/>
  <c r="AG8" i="13" s="1"/>
  <c r="H9" i="11"/>
  <c r="H9" i="13" s="1"/>
  <c r="AX7" i="11"/>
  <c r="AX7" i="13" s="1"/>
  <c r="H7" i="11"/>
  <c r="H7" i="13" s="1"/>
  <c r="AH6" i="11"/>
  <c r="AH6" i="13" s="1"/>
  <c r="J10" i="11"/>
  <c r="J10" i="13" s="1"/>
  <c r="AH8" i="11"/>
  <c r="AH8" i="13" s="1"/>
  <c r="AF7" i="11"/>
  <c r="AF7" i="13" s="1"/>
  <c r="C11" i="11"/>
  <c r="C11" i="13" s="1"/>
  <c r="AU7" i="11"/>
  <c r="AU7" i="13" s="1"/>
  <c r="AN8" i="11"/>
  <c r="AN8" i="13" s="1"/>
  <c r="AH7" i="11"/>
  <c r="AH7" i="13" s="1"/>
  <c r="C12" i="11"/>
  <c r="C12" i="13" s="1"/>
  <c r="AY6" i="11"/>
  <c r="AY6" i="13" s="1"/>
  <c r="AS8" i="11"/>
  <c r="AS8" i="13" s="1"/>
  <c r="AS7" i="11"/>
  <c r="AS7" i="13" s="1"/>
  <c r="D12" i="11"/>
  <c r="D12" i="13" s="1"/>
  <c r="C7" i="11"/>
  <c r="C7" i="13" s="1"/>
  <c r="AE9" i="11"/>
  <c r="AE9" i="13" s="1"/>
  <c r="F12" i="11"/>
  <c r="F12" i="13" s="1"/>
  <c r="AY7" i="11"/>
  <c r="AY7" i="13" s="1"/>
  <c r="G10" i="11"/>
  <c r="G10" i="13" s="1"/>
  <c r="AG6" i="11"/>
  <c r="AG6" i="13" s="1"/>
  <c r="AF9" i="11"/>
  <c r="AF9" i="13" s="1"/>
  <c r="AU8" i="11"/>
  <c r="AU8" i="13" s="1"/>
  <c r="AT9" i="11"/>
  <c r="AT9" i="13" s="1"/>
  <c r="AG9" i="11"/>
  <c r="AG9" i="13" s="1"/>
  <c r="AV8" i="11"/>
  <c r="AV8" i="13" s="1"/>
  <c r="AV7" i="11"/>
  <c r="AV7" i="13" s="1"/>
  <c r="G12" i="11"/>
  <c r="G12" i="13" s="1"/>
  <c r="F7" i="11"/>
  <c r="F7" i="13" s="1"/>
  <c r="AW8" i="11"/>
  <c r="AW8" i="13" s="1"/>
  <c r="C10" i="11"/>
  <c r="C10" i="13" s="1"/>
  <c r="AH9" i="11"/>
  <c r="AH9" i="13" s="1"/>
  <c r="AL9" i="11"/>
  <c r="AL9" i="13" s="1"/>
  <c r="AX8" i="11"/>
  <c r="AX8" i="13" s="1"/>
  <c r="AM9" i="11"/>
  <c r="AM9" i="13" s="1"/>
  <c r="AY8" i="11"/>
  <c r="AY8" i="13" s="1"/>
  <c r="AN9" i="11"/>
  <c r="AN9" i="13" s="1"/>
  <c r="E10" i="11"/>
  <c r="E10" i="13" s="1"/>
  <c r="AO9" i="11"/>
  <c r="AO9" i="13" s="1"/>
  <c r="C5" i="11"/>
  <c r="C5" i="13" s="1"/>
  <c r="F10" i="11"/>
  <c r="F10" i="13" s="1"/>
  <c r="E8" i="11"/>
  <c r="E8" i="13" s="1"/>
  <c r="AF6" i="11"/>
  <c r="AF6" i="13" s="1"/>
  <c r="AS9" i="11"/>
  <c r="AS9" i="13" s="1"/>
  <c r="C6" i="11"/>
  <c r="C6" i="13" s="1"/>
  <c r="G8" i="11"/>
  <c r="G8" i="13" s="1"/>
  <c r="AN7" i="11"/>
  <c r="AN7" i="13" s="1"/>
  <c r="AM6" i="11"/>
  <c r="AM6" i="13" s="1"/>
  <c r="J7" i="11"/>
  <c r="J7" i="13" s="1"/>
  <c r="AA9" i="11"/>
  <c r="AA9" i="13" s="1"/>
  <c r="AM7" i="11"/>
  <c r="AM7" i="13" s="1"/>
  <c r="AL7" i="11"/>
  <c r="AL7" i="13" s="1"/>
  <c r="AM8" i="11"/>
  <c r="AM8" i="13" s="1"/>
  <c r="AB7" i="11"/>
  <c r="AB7" i="13" s="1"/>
  <c r="AB6" i="11"/>
  <c r="AB6" i="13" s="1"/>
  <c r="Z7" i="11"/>
  <c r="Z7" i="13" s="1"/>
  <c r="Y7" i="11"/>
  <c r="Y7" i="13" s="1"/>
  <c r="AA7" i="11"/>
  <c r="AA7" i="13" s="1"/>
  <c r="Y8" i="11"/>
  <c r="Y8" i="13" s="1"/>
  <c r="Y9" i="11"/>
  <c r="Y9" i="13" s="1"/>
  <c r="AA6" i="11"/>
  <c r="AA6" i="13" s="1"/>
  <c r="J8" i="11"/>
  <c r="J8" i="13" s="1"/>
  <c r="X8" i="11"/>
  <c r="X8" i="13" s="1"/>
  <c r="AA8" i="11"/>
  <c r="AA8" i="13" s="1"/>
  <c r="X9" i="11"/>
  <c r="X9" i="13" s="1"/>
  <c r="Z9" i="11"/>
  <c r="Z9" i="13" s="1"/>
  <c r="AN6" i="11"/>
  <c r="AN6" i="13" s="1"/>
  <c r="Z8" i="11"/>
  <c r="Z8" i="13" s="1"/>
  <c r="Y6" i="11"/>
  <c r="Y6" i="13" s="1"/>
  <c r="Z6" i="11"/>
  <c r="Z6" i="13" s="1"/>
  <c r="AB8" i="11"/>
  <c r="AB8" i="13" s="1"/>
  <c r="AL6" i="11"/>
  <c r="AL6" i="13" s="1"/>
  <c r="AB9" i="11"/>
  <c r="AB9" i="13" s="1"/>
  <c r="AO8" i="11"/>
  <c r="AO8" i="13" s="1"/>
  <c r="AO6" i="11"/>
  <c r="AO6" i="13" s="1"/>
  <c r="AO7" i="11"/>
  <c r="AO7" i="13" s="1"/>
  <c r="Q10" i="11"/>
  <c r="Q10" i="13" s="1"/>
  <c r="Q7" i="11"/>
  <c r="Q7" i="13" s="1"/>
  <c r="C51" i="8"/>
  <c r="B50" i="8" s="1"/>
  <c r="T5" i="8" s="1"/>
  <c r="C99" i="8"/>
  <c r="B90" i="8" s="1"/>
  <c r="C87" i="8"/>
  <c r="B78" i="8" s="1"/>
  <c r="C123" i="8"/>
  <c r="B114" i="8" s="1"/>
  <c r="L11" i="8" s="1"/>
  <c r="C63" i="8"/>
  <c r="B55" i="8" s="1"/>
  <c r="M6" i="8" s="1"/>
  <c r="C111" i="8"/>
  <c r="B102" i="8" s="1"/>
  <c r="C75" i="8"/>
  <c r="B66" i="8" s="1"/>
  <c r="AO5" i="11"/>
  <c r="AO5" i="13" s="1"/>
  <c r="J5" i="11"/>
  <c r="J5" i="13" s="1"/>
  <c r="AS5" i="11"/>
  <c r="AS5" i="13" s="1"/>
  <c r="AT5" i="11"/>
  <c r="AT5" i="13" s="1"/>
  <c r="AU5" i="11"/>
  <c r="AU5" i="13" s="1"/>
  <c r="AV5" i="11"/>
  <c r="AV5" i="13" s="1"/>
  <c r="Q5" i="11"/>
  <c r="Q5" i="13" s="1"/>
  <c r="AW5" i="11"/>
  <c r="AW5" i="13" s="1"/>
  <c r="X5" i="11"/>
  <c r="X5" i="13" s="1"/>
  <c r="D6" i="11"/>
  <c r="D6" i="13" s="1"/>
  <c r="Y5" i="11"/>
  <c r="Y5" i="13" s="1"/>
  <c r="E6" i="11"/>
  <c r="E6" i="13" s="1"/>
  <c r="Z5" i="11"/>
  <c r="Z5" i="13" s="1"/>
  <c r="F6" i="11"/>
  <c r="F6" i="13" s="1"/>
  <c r="AA5" i="11"/>
  <c r="AA5" i="13" s="1"/>
  <c r="G6" i="11"/>
  <c r="G6" i="13" s="1"/>
  <c r="AB5" i="11"/>
  <c r="AB5" i="13" s="1"/>
  <c r="H6" i="11"/>
  <c r="H6" i="13" s="1"/>
  <c r="AE5" i="11"/>
  <c r="AE5" i="13" s="1"/>
  <c r="C4" i="11"/>
  <c r="C4" i="13" s="1"/>
  <c r="J6" i="11"/>
  <c r="J6" i="13" s="1"/>
  <c r="AF5" i="11"/>
  <c r="AF5" i="13" s="1"/>
  <c r="D5" i="11"/>
  <c r="D5" i="13" s="1"/>
  <c r="AG5" i="11"/>
  <c r="AG5" i="13" s="1"/>
  <c r="AH5" i="11"/>
  <c r="AH5" i="13" s="1"/>
  <c r="E5" i="11"/>
  <c r="E5" i="13" s="1"/>
  <c r="AL5" i="11"/>
  <c r="AL5" i="13" s="1"/>
  <c r="F5" i="11"/>
  <c r="F5" i="13" s="1"/>
  <c r="AM5" i="11"/>
  <c r="AM5" i="13" s="1"/>
  <c r="G5" i="11"/>
  <c r="G5" i="13" s="1"/>
  <c r="AN5" i="11"/>
  <c r="AN5" i="13" s="1"/>
  <c r="H5" i="11"/>
  <c r="H5" i="13" s="1"/>
  <c r="AM4" i="11"/>
  <c r="AM4" i="13" s="1"/>
  <c r="AX4" i="11"/>
  <c r="AX4" i="13" s="1"/>
  <c r="AY4" i="11"/>
  <c r="AY4" i="13" s="1"/>
  <c r="AE4" i="11"/>
  <c r="AE4" i="13" s="1"/>
  <c r="AF4" i="11"/>
  <c r="AF4" i="13" s="1"/>
  <c r="AG4" i="11"/>
  <c r="AG4" i="13" s="1"/>
  <c r="AH4" i="11"/>
  <c r="AH4" i="13" s="1"/>
  <c r="AL4" i="11"/>
  <c r="AL4" i="13" s="1"/>
  <c r="AU4" i="11"/>
  <c r="AU4" i="13" s="1"/>
  <c r="AV4" i="11"/>
  <c r="AV4" i="13" s="1"/>
  <c r="AW4" i="11"/>
  <c r="AW4" i="13" s="1"/>
  <c r="AN4" i="11"/>
  <c r="AN4" i="13" s="1"/>
  <c r="AO4" i="11"/>
  <c r="AO4" i="13" s="1"/>
  <c r="AS4" i="13"/>
  <c r="AT4" i="11"/>
  <c r="AT4" i="13" s="1"/>
  <c r="E4" i="11"/>
  <c r="E4" i="13" s="1"/>
  <c r="F4" i="11"/>
  <c r="F4" i="13" s="1"/>
  <c r="G4" i="11"/>
  <c r="G4" i="13" s="1"/>
  <c r="H4" i="11"/>
  <c r="H4" i="13" s="1"/>
  <c r="Q4" i="11"/>
  <c r="Q4" i="13" s="1"/>
  <c r="X4" i="11"/>
  <c r="X4" i="13" s="1"/>
  <c r="Y4" i="11"/>
  <c r="Y4" i="13" s="1"/>
  <c r="Z4" i="11"/>
  <c r="Z4" i="13" s="1"/>
  <c r="AA4" i="11"/>
  <c r="AA4" i="13" s="1"/>
  <c r="AB4" i="11"/>
  <c r="AB4" i="13" s="1"/>
  <c r="D4" i="11"/>
  <c r="D4" i="13" s="1"/>
  <c r="C24" i="8"/>
  <c r="A33" i="11"/>
  <c r="C21" i="8"/>
  <c r="C25" i="8"/>
  <c r="C23" i="8"/>
  <c r="C26" i="8"/>
  <c r="A36" i="11"/>
  <c r="C19" i="8"/>
  <c r="A32" i="11"/>
  <c r="A34" i="11"/>
  <c r="A35" i="11"/>
  <c r="A40" i="11"/>
  <c r="A37" i="11"/>
  <c r="A38" i="11"/>
  <c r="C18" i="8"/>
  <c r="C22" i="8"/>
  <c r="A39" i="11"/>
  <c r="C20" i="8"/>
  <c r="C33" i="8"/>
  <c r="C30" i="8"/>
  <c r="C36" i="8"/>
  <c r="C31" i="8"/>
  <c r="C32" i="8"/>
  <c r="C34" i="8"/>
  <c r="C35" i="8"/>
  <c r="C37" i="8"/>
  <c r="C38" i="8"/>
  <c r="C12" i="8"/>
  <c r="C13" i="8"/>
  <c r="C14" i="8"/>
  <c r="C8" i="8"/>
  <c r="C9" i="8"/>
  <c r="C10" i="8"/>
  <c r="C7" i="8"/>
  <c r="C6" i="8"/>
  <c r="C11" i="8"/>
  <c r="B58" i="8" l="1"/>
  <c r="P6" i="8" s="1"/>
  <c r="B95" i="8"/>
  <c r="Q9" i="8" s="1"/>
  <c r="B104" i="8"/>
  <c r="B94" i="8"/>
  <c r="P9" i="8" s="1"/>
  <c r="B92" i="8"/>
  <c r="N9" i="8" s="1"/>
  <c r="B59" i="8"/>
  <c r="Q6" i="8" s="1"/>
  <c r="B108" i="8"/>
  <c r="B56" i="8"/>
  <c r="N6" i="8" s="1"/>
  <c r="B103" i="8"/>
  <c r="B79" i="8"/>
  <c r="M8" i="8" s="1"/>
  <c r="B45" i="8"/>
  <c r="O5" i="8" s="1"/>
  <c r="B61" i="8"/>
  <c r="S6" i="8" s="1"/>
  <c r="B93" i="8"/>
  <c r="O9" i="8" s="1"/>
  <c r="B57" i="8"/>
  <c r="O6" i="8" s="1"/>
  <c r="B106" i="8"/>
  <c r="B60" i="8"/>
  <c r="R6" i="8" s="1"/>
  <c r="B107" i="8"/>
  <c r="B110" i="8"/>
  <c r="B109" i="8"/>
  <c r="B115" i="8"/>
  <c r="M11" i="8" s="1"/>
  <c r="B117" i="8"/>
  <c r="O11" i="8" s="1"/>
  <c r="B46" i="8"/>
  <c r="P5" i="8" s="1"/>
  <c r="B122" i="8"/>
  <c r="T11" i="8" s="1"/>
  <c r="B118" i="8"/>
  <c r="P11" i="8" s="1"/>
  <c r="B48" i="8"/>
  <c r="R5" i="8" s="1"/>
  <c r="B44" i="8"/>
  <c r="N5" i="8" s="1"/>
  <c r="B121" i="8"/>
  <c r="S11" i="8" s="1"/>
  <c r="B43" i="8"/>
  <c r="M5" i="8" s="1"/>
  <c r="B120" i="8"/>
  <c r="R11" i="8" s="1"/>
  <c r="B81" i="8"/>
  <c r="O8" i="8" s="1"/>
  <c r="B47" i="8"/>
  <c r="Q5" i="8" s="1"/>
  <c r="L7" i="8"/>
  <c r="B72" i="8"/>
  <c r="R7" i="8" s="1"/>
  <c r="B67" i="8"/>
  <c r="M7" i="8" s="1"/>
  <c r="B84" i="8"/>
  <c r="R8" i="8" s="1"/>
  <c r="B85" i="8"/>
  <c r="S8" i="8" s="1"/>
  <c r="B68" i="8"/>
  <c r="N7" i="8" s="1"/>
  <c r="B69" i="8"/>
  <c r="O7" i="8" s="1"/>
  <c r="L9" i="8"/>
  <c r="B86" i="8"/>
  <c r="T8" i="8" s="1"/>
  <c r="B97" i="8"/>
  <c r="S9" i="8" s="1"/>
  <c r="L8" i="8"/>
  <c r="B71" i="8"/>
  <c r="Q7" i="8" s="1"/>
  <c r="B83" i="8"/>
  <c r="Q8" i="8" s="1"/>
  <c r="B80" i="8"/>
  <c r="N8" i="8" s="1"/>
  <c r="B73" i="8"/>
  <c r="S7" i="8" s="1"/>
  <c r="B54" i="8"/>
  <c r="B98" i="8"/>
  <c r="T9" i="8" s="1"/>
  <c r="B119" i="8"/>
  <c r="Q11" i="8" s="1"/>
  <c r="B49" i="8"/>
  <c r="S5" i="8" s="1"/>
  <c r="B82" i="8"/>
  <c r="P8" i="8" s="1"/>
  <c r="B42" i="8"/>
  <c r="B62" i="8"/>
  <c r="T6" i="8" s="1"/>
  <c r="B105" i="8"/>
  <c r="B96" i="8"/>
  <c r="R9" i="8" s="1"/>
  <c r="B74" i="8"/>
  <c r="T7" i="8" s="1"/>
  <c r="B116" i="8"/>
  <c r="B70" i="8"/>
  <c r="P7" i="8" s="1"/>
  <c r="B91" i="8"/>
  <c r="M9" i="8" s="1"/>
  <c r="C39" i="8"/>
  <c r="B32" i="8" s="1"/>
  <c r="N4" i="8" s="1"/>
  <c r="C15" i="8"/>
  <c r="B9" i="8" s="1"/>
  <c r="O2" i="8" s="1"/>
  <c r="C27" i="8"/>
  <c r="B19" i="8" s="1"/>
  <c r="M3" i="8" s="1"/>
  <c r="B33" i="8" l="1"/>
  <c r="O4" i="8" s="1"/>
  <c r="B38" i="8"/>
  <c r="T4" i="8" s="1"/>
  <c r="B123" i="8"/>
  <c r="N11" i="8"/>
  <c r="B111" i="8"/>
  <c r="L6" i="8"/>
  <c r="B63" i="8"/>
  <c r="B99" i="8"/>
  <c r="B87" i="8"/>
  <c r="L5" i="8"/>
  <c r="B51" i="8"/>
  <c r="B6" i="8"/>
  <c r="L2" i="8" s="1"/>
  <c r="B75" i="8"/>
  <c r="B30" i="8"/>
  <c r="B36" i="8"/>
  <c r="R4" i="8" s="1"/>
  <c r="B31" i="8"/>
  <c r="M4" i="8" s="1"/>
  <c r="B34" i="8"/>
  <c r="P4" i="8" s="1"/>
  <c r="B35" i="8"/>
  <c r="Q4" i="8" s="1"/>
  <c r="B37" i="8"/>
  <c r="S4" i="8" s="1"/>
  <c r="B18" i="8"/>
  <c r="L3" i="8" s="1"/>
  <c r="B10" i="8"/>
  <c r="P2" i="8" s="1"/>
  <c r="B21" i="8"/>
  <c r="O3" i="8" s="1"/>
  <c r="B25" i="8"/>
  <c r="S3" i="8" s="1"/>
  <c r="B23" i="8"/>
  <c r="Q3" i="8" s="1"/>
  <c r="B24" i="8"/>
  <c r="R3" i="8" s="1"/>
  <c r="B7" i="8"/>
  <c r="M2" i="8" s="1"/>
  <c r="B11" i="8"/>
  <c r="Q2" i="8" s="1"/>
  <c r="B13" i="8"/>
  <c r="S2" i="8" s="1"/>
  <c r="B14" i="8"/>
  <c r="T2" i="8" s="1"/>
  <c r="B26" i="8"/>
  <c r="T3" i="8" s="1"/>
  <c r="B22" i="8"/>
  <c r="P3" i="8" s="1"/>
  <c r="B8" i="8"/>
  <c r="N2" i="8" s="1"/>
  <c r="B20" i="8"/>
  <c r="N3" i="8" s="1"/>
  <c r="B12" i="8"/>
  <c r="R2" i="8" s="1"/>
  <c r="L4" i="8" l="1"/>
  <c r="B39" i="8"/>
  <c r="B15" i="8"/>
  <c r="B27" i="8"/>
</calcChain>
</file>

<file path=xl/sharedStrings.xml><?xml version="1.0" encoding="utf-8"?>
<sst xmlns="http://schemas.openxmlformats.org/spreadsheetml/2006/main" count="761" uniqueCount="162">
  <si>
    <t>ID Patient</t>
  </si>
  <si>
    <t>Œil</t>
  </si>
  <si>
    <t>Âge</t>
  </si>
  <si>
    <t>WTW (mm)</t>
  </si>
  <si>
    <t>Réfraction sphère</t>
  </si>
  <si>
    <t>Réfraction cylindre</t>
  </si>
  <si>
    <t>Réfraction axe</t>
  </si>
  <si>
    <t>SE post-op</t>
  </si>
  <si>
    <t>SE attendu (Barrett)</t>
  </si>
  <si>
    <t>Erreur SE (post-op - attendu)</t>
  </si>
  <si>
    <t>Écart &gt;0.50D ?</t>
  </si>
  <si>
    <t>IOL 700</t>
  </si>
  <si>
    <t>BARRETT SE attendu</t>
  </si>
  <si>
    <t>IOL</t>
  </si>
  <si>
    <t>Haigis         SE attendu</t>
  </si>
  <si>
    <t>SRK/T     SE attendue</t>
  </si>
  <si>
    <t>ACD epit</t>
  </si>
  <si>
    <t xml:space="preserve">K1 </t>
  </si>
  <si>
    <t xml:space="preserve">K2 </t>
  </si>
  <si>
    <t xml:space="preserve">Axe </t>
  </si>
  <si>
    <t>Astigmatisme cornéen</t>
  </si>
  <si>
    <t>Axe</t>
  </si>
  <si>
    <t>BARRETT</t>
  </si>
  <si>
    <t>Haigis</t>
  </si>
  <si>
    <t>SE attendu Haigis</t>
  </si>
  <si>
    <t>SE attendu SRK/T</t>
  </si>
  <si>
    <t>SRK/T</t>
  </si>
  <si>
    <t>LT</t>
  </si>
  <si>
    <t>AL</t>
  </si>
  <si>
    <t>antécédent</t>
  </si>
  <si>
    <t>RAS</t>
  </si>
  <si>
    <t>PTOSIS</t>
  </si>
  <si>
    <t>HAIGIS</t>
  </si>
  <si>
    <t>K1</t>
  </si>
  <si>
    <t>FORMULE LA PLUS PROCHE</t>
  </si>
  <si>
    <t>GUTTATA</t>
  </si>
  <si>
    <t>MYOPE F</t>
  </si>
  <si>
    <t>SECHERESSE</t>
  </si>
  <si>
    <t>ANTECEDENT</t>
  </si>
  <si>
    <t>KM</t>
  </si>
  <si>
    <t>PUISSANCE IOL =&gt;30</t>
  </si>
  <si>
    <t>PKP</t>
  </si>
  <si>
    <t>PELUCIDE</t>
  </si>
  <si>
    <t>ZEISS CALC</t>
  </si>
  <si>
    <t>KCN</t>
  </si>
  <si>
    <t>GLAUCOME</t>
  </si>
  <si>
    <t>PUISSANCE IOL 30 =&gt; 25</t>
  </si>
  <si>
    <t>PUISSANCE IOL 25 =&gt; 15</t>
  </si>
  <si>
    <t>PUISSANCE IOL 15 =&gt; 10</t>
  </si>
  <si>
    <t>PUISSANCE IOL 10 =&gt; 0</t>
  </si>
  <si>
    <t>PUISSANCE IOL 0=&gt;</t>
  </si>
  <si>
    <t>AGE          80 =&gt; 70</t>
  </si>
  <si>
    <t>AGE             +90</t>
  </si>
  <si>
    <t>AGE         69 =&gt; 60</t>
  </si>
  <si>
    <t>AGE          59 =&gt; 50</t>
  </si>
  <si>
    <t>AGE          49 =&gt; 40</t>
  </si>
  <si>
    <t>AGE         -39</t>
  </si>
  <si>
    <t>AGE          89 =&gt; 80</t>
  </si>
  <si>
    <t>AMBLYOPE</t>
  </si>
  <si>
    <t>DGM</t>
  </si>
  <si>
    <t>&gt;+1,0</t>
  </si>
  <si>
    <t xml:space="preserve"> +1,0 à +0,76</t>
  </si>
  <si>
    <t xml:space="preserve"> +0,75 à +0,51</t>
  </si>
  <si>
    <t xml:space="preserve"> +0,50 à +0,26</t>
  </si>
  <si>
    <t xml:space="preserve"> +0,25 à -0,25</t>
  </si>
  <si>
    <t xml:space="preserve"> -0,26 à -0,50</t>
  </si>
  <si>
    <t xml:space="preserve"> -0,51 à -0,75</t>
  </si>
  <si>
    <t xml:space="preserve"> -0,76 -1,0</t>
  </si>
  <si>
    <t>&gt; -1,0</t>
  </si>
  <si>
    <t>resultat BARRETTE</t>
  </si>
  <si>
    <t>resultat HAIGIS</t>
  </si>
  <si>
    <t>resultat SRK/T</t>
  </si>
  <si>
    <t>BARRETTE</t>
  </si>
  <si>
    <t>total</t>
  </si>
  <si>
    <t>CHIR REF</t>
  </si>
  <si>
    <t>Cooke K6</t>
  </si>
  <si>
    <t>EVO</t>
  </si>
  <si>
    <t>Hill-RBF</t>
  </si>
  <si>
    <t>Hoffer QST</t>
  </si>
  <si>
    <t>Kane</t>
  </si>
  <si>
    <t>Pearl DGS</t>
  </si>
  <si>
    <t>Cooke       K6</t>
  </si>
  <si>
    <t>Pearl        DGS</t>
  </si>
  <si>
    <t>Zeiss</t>
  </si>
  <si>
    <t>Cooke k6</t>
  </si>
  <si>
    <t>resultat Zeiss</t>
  </si>
  <si>
    <t>resultat Cooke k6</t>
  </si>
  <si>
    <t>resultat EVO</t>
  </si>
  <si>
    <t>resultat Hill-RBF</t>
  </si>
  <si>
    <t>resultat Hoffer QST</t>
  </si>
  <si>
    <t>resultat Kane</t>
  </si>
  <si>
    <t>resultat Pearl DGS</t>
  </si>
  <si>
    <t>SE attendu Zeiss</t>
  </si>
  <si>
    <t>SE attendu Cooke k6</t>
  </si>
  <si>
    <t>SE attendu EVO</t>
  </si>
  <si>
    <t>SE attendu Hill-RBF</t>
  </si>
  <si>
    <t>SE attendu Hoffer QST</t>
  </si>
  <si>
    <t>SE attendu Kane</t>
  </si>
  <si>
    <t>SE attendu Pearl DGS</t>
  </si>
  <si>
    <t>zeiss</t>
  </si>
  <si>
    <t>formule</t>
  </si>
  <si>
    <t>PACHY (mm)</t>
  </si>
  <si>
    <t>POST OP J30 + ET KERATO AR</t>
  </si>
  <si>
    <t>chiffre en pourcentage</t>
  </si>
  <si>
    <t>AGE                -39</t>
  </si>
  <si>
    <t>K extrème &gt;48,5</t>
  </si>
  <si>
    <t>K PLAT &gt;41,0</t>
  </si>
  <si>
    <t>CA extrème &gt;4,0</t>
  </si>
  <si>
    <t>CA profonde 4&gt;3,5</t>
  </si>
  <si>
    <t>CA NORM 3,5&gt;2,5</t>
  </si>
  <si>
    <t>CA ETROITE 2,5&gt;2,0</t>
  </si>
  <si>
    <t>CA tres etroite &lt;2,0</t>
  </si>
  <si>
    <t>K CAMBRE 48,5&gt;46,5</t>
  </si>
  <si>
    <t>K CAMBRE-   46,5&gt;45</t>
  </si>
  <si>
    <t>K NORM 45&gt;43</t>
  </si>
  <si>
    <t>K PLAT-  43&gt;41</t>
  </si>
  <si>
    <t>œil extrème &gt;28mm</t>
  </si>
  <si>
    <t>Œil long NORMAL 24,5&gt;22,5</t>
  </si>
  <si>
    <t>Œil court 22,5&gt;20</t>
  </si>
  <si>
    <t>Œil très court        &lt;20</t>
  </si>
  <si>
    <t>Œil très  long 28&gt;26</t>
  </si>
  <si>
    <t>Œil long 26&gt;24,5</t>
  </si>
  <si>
    <t>CA tres etroite  &lt;2,0</t>
  </si>
  <si>
    <t>K CAMBRE- 46,5&gt;45</t>
  </si>
  <si>
    <t>LT TRES EPAIS &gt;5,3</t>
  </si>
  <si>
    <t>LT EPAIS 5,3&gt;4,9</t>
  </si>
  <si>
    <t>LT NORMAL 4,9&gt;3,8</t>
  </si>
  <si>
    <t>LT FIN&gt;3,8</t>
  </si>
  <si>
    <t>WTW EXTREME &gt;13</t>
  </si>
  <si>
    <t>WTW GRAND 13&gt;12,5</t>
  </si>
  <si>
    <t>WTW PETITE &lt;11,5</t>
  </si>
  <si>
    <t>WTW NORM 12,5&gt;11,5</t>
  </si>
  <si>
    <t>barrett &gt;+1,0</t>
  </si>
  <si>
    <t>barrett +1,0 à +0,76</t>
  </si>
  <si>
    <t>barrett +0,75 à +0,51</t>
  </si>
  <si>
    <t>barrett +0,50 à +0,26</t>
  </si>
  <si>
    <t>barrett +0,25 à -0,25</t>
  </si>
  <si>
    <t>barrett -0,26 à -0,50</t>
  </si>
  <si>
    <t>barrett -0,51 à -0,75</t>
  </si>
  <si>
    <t>barrett -0,76 -1,0</t>
  </si>
  <si>
    <t>barrett &gt; -1,0</t>
  </si>
  <si>
    <t>haigis &gt;+1,0</t>
  </si>
  <si>
    <t>haigis +1,0 à +0,76</t>
  </si>
  <si>
    <t>haigis +0,75 à +0,51</t>
  </si>
  <si>
    <t>haigis +0,50 à +0,26</t>
  </si>
  <si>
    <t>haigis +0,25 à -0,25</t>
  </si>
  <si>
    <t>haigis -0,26 à -0,50</t>
  </si>
  <si>
    <t>haigis -0,51 à -0,75</t>
  </si>
  <si>
    <t>haigis -0,76 -1,0</t>
  </si>
  <si>
    <t>haigis &gt; -1,0</t>
  </si>
  <si>
    <t>SRKT &gt;+1,0</t>
  </si>
  <si>
    <t>SRKT +1,0 à +0,76</t>
  </si>
  <si>
    <t>SRKT +0,75 à +0,51</t>
  </si>
  <si>
    <t>SRKT +0,50 à +0,26</t>
  </si>
  <si>
    <t>SRKT +0,25 à -0,25</t>
  </si>
  <si>
    <t>SRKT -0,26 à -0,50</t>
  </si>
  <si>
    <t>SRKT -0,51 à -0,75</t>
  </si>
  <si>
    <t>SRKT -0,76 -1,0</t>
  </si>
  <si>
    <t>SRKT &gt; -1,0</t>
  </si>
  <si>
    <t>DASEK</t>
  </si>
  <si>
    <t>axe</t>
  </si>
  <si>
    <t>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</si>
</sst>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24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31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1" fillId="0" borderId="7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3" borderId="11" xfId="0" applyFont="1" applyFill="1" applyBorder="1" applyAlignment="1">
      <alignment horizontal="center" vertical="top" wrapText="1"/>
    </xf>
    <xf numFmtId="0" fontId="1" fillId="4" borderId="11" xfId="0" applyFont="1" applyFill="1" applyBorder="1" applyAlignment="1">
      <alignment horizontal="center" vertical="top" wrapText="1"/>
    </xf>
    <xf numFmtId="0" fontId="1" fillId="5" borderId="11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6" borderId="8" xfId="0" applyFont="1" applyFill="1" applyBorder="1" applyAlignment="1">
      <alignment horizontal="center" vertical="top" wrapText="1"/>
    </xf>
    <xf numFmtId="0" fontId="1" fillId="4" borderId="8" xfId="0" applyFont="1" applyFill="1" applyBorder="1" applyAlignment="1">
      <alignment horizontal="center" vertical="top" wrapText="1"/>
    </xf>
    <xf numFmtId="0" fontId="5" fillId="5" borderId="8" xfId="0" applyFont="1" applyFill="1" applyBorder="1" applyAlignment="1">
      <alignment horizontal="center" vertical="top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3" borderId="16" xfId="0" applyFill="1" applyBorder="1"/>
    <xf numFmtId="0" fontId="0" fillId="4" borderId="15" xfId="0" applyFill="1" applyBorder="1"/>
    <xf numFmtId="0" fontId="0" fillId="4" borderId="16" xfId="0" applyFill="1" applyBorder="1"/>
    <xf numFmtId="0" fontId="0" fillId="5" borderId="15" xfId="0" applyFill="1" applyBorder="1"/>
    <xf numFmtId="0" fontId="6" fillId="5" borderId="16" xfId="0" applyFont="1" applyFill="1" applyBorder="1"/>
    <xf numFmtId="0" fontId="0" fillId="3" borderId="14" xfId="0" applyFill="1" applyBorder="1"/>
    <xf numFmtId="0" fontId="2" fillId="3" borderId="20" xfId="0" applyFont="1" applyFill="1" applyBorder="1" applyAlignment="1">
      <alignment horizontal="center"/>
    </xf>
    <xf numFmtId="0" fontId="0" fillId="4" borderId="19" xfId="0" applyFill="1" applyBorder="1"/>
    <xf numFmtId="0" fontId="0" fillId="4" borderId="14" xfId="0" applyFill="1" applyBorder="1"/>
    <xf numFmtId="0" fontId="2" fillId="4" borderId="20" xfId="0" applyFont="1" applyFill="1" applyBorder="1" applyAlignment="1">
      <alignment horizontal="center"/>
    </xf>
    <xf numFmtId="0" fontId="0" fillId="5" borderId="19" xfId="0" applyFill="1" applyBorder="1"/>
    <xf numFmtId="0" fontId="0" fillId="5" borderId="14" xfId="0" applyFill="1" applyBorder="1"/>
    <xf numFmtId="0" fontId="2" fillId="5" borderId="20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top" wrapText="1"/>
    </xf>
    <xf numFmtId="0" fontId="1" fillId="5" borderId="7" xfId="0" applyFont="1" applyFill="1" applyBorder="1" applyAlignment="1">
      <alignment horizontal="center" vertical="top" wrapText="1"/>
    </xf>
    <xf numFmtId="0" fontId="0" fillId="0" borderId="1" xfId="0" applyBorder="1"/>
    <xf numFmtId="0" fontId="0" fillId="0" borderId="14" xfId="0" applyBorder="1"/>
    <xf numFmtId="0" fontId="0" fillId="0" borderId="19" xfId="0" applyBorder="1"/>
    <xf numFmtId="0" fontId="0" fillId="6" borderId="20" xfId="0" applyFill="1" applyBorder="1"/>
    <xf numFmtId="0" fontId="0" fillId="0" borderId="15" xfId="0" applyBorder="1"/>
    <xf numFmtId="0" fontId="0" fillId="6" borderId="16" xfId="0" applyFill="1" applyBorder="1"/>
    <xf numFmtId="0" fontId="1" fillId="0" borderId="12" xfId="0" applyFont="1" applyBorder="1" applyAlignment="1">
      <alignment horizontal="center" vertical="top" wrapText="1"/>
    </xf>
    <xf numFmtId="0" fontId="0" fillId="0" borderId="13" xfId="0" applyBorder="1"/>
    <xf numFmtId="0" fontId="0" fillId="0" borderId="6" xfId="0" applyBorder="1"/>
    <xf numFmtId="0" fontId="2" fillId="0" borderId="17" xfId="0" applyFont="1" applyBorder="1"/>
    <xf numFmtId="0" fontId="2" fillId="0" borderId="18" xfId="0" applyFont="1" applyBorder="1"/>
    <xf numFmtId="0" fontId="0" fillId="0" borderId="20" xfId="0" applyBorder="1"/>
    <xf numFmtId="0" fontId="0" fillId="0" borderId="16" xfId="0" applyBorder="1"/>
    <xf numFmtId="0" fontId="0" fillId="0" borderId="21" xfId="0" applyBorder="1"/>
    <xf numFmtId="0" fontId="0" fillId="0" borderId="5" xfId="0" applyBorder="1"/>
    <xf numFmtId="0" fontId="1" fillId="6" borderId="10" xfId="0" applyFont="1" applyFill="1" applyBorder="1" applyAlignment="1">
      <alignment horizontal="center" vertical="top" wrapText="1"/>
    </xf>
    <xf numFmtId="0" fontId="2" fillId="0" borderId="22" xfId="0" applyFont="1" applyBorder="1"/>
    <xf numFmtId="2" fontId="1" fillId="0" borderId="7" xfId="0" applyNumberFormat="1" applyFont="1" applyBorder="1" applyAlignment="1">
      <alignment horizontal="center" vertical="top" wrapText="1"/>
    </xf>
    <xf numFmtId="2" fontId="1" fillId="0" borderId="11" xfId="0" applyNumberFormat="1" applyFont="1" applyBorder="1" applyAlignment="1">
      <alignment horizontal="center" vertical="top" wrapText="1"/>
    </xf>
    <xf numFmtId="2" fontId="1" fillId="2" borderId="11" xfId="0" applyNumberFormat="1" applyFont="1" applyFill="1" applyBorder="1" applyAlignment="1">
      <alignment horizontal="center" vertical="top" wrapText="1"/>
    </xf>
    <xf numFmtId="2" fontId="1" fillId="0" borderId="12" xfId="0" applyNumberFormat="1" applyFont="1" applyBorder="1" applyAlignment="1">
      <alignment horizontal="center" vertical="top" wrapText="1"/>
    </xf>
    <xf numFmtId="2" fontId="0" fillId="0" borderId="19" xfId="0" applyNumberFormat="1" applyBorder="1"/>
    <xf numFmtId="2" fontId="0" fillId="0" borderId="14" xfId="0" applyNumberFormat="1" applyBorder="1"/>
    <xf numFmtId="2" fontId="0" fillId="2" borderId="14" xfId="0" applyNumberFormat="1" applyFill="1" applyBorder="1"/>
    <xf numFmtId="2" fontId="0" fillId="0" borderId="21" xfId="0" applyNumberFormat="1" applyBorder="1"/>
    <xf numFmtId="2" fontId="0" fillId="0" borderId="15" xfId="0" applyNumberFormat="1" applyBorder="1"/>
    <xf numFmtId="2" fontId="0" fillId="0" borderId="1" xfId="0" applyNumberFormat="1" applyBorder="1"/>
    <xf numFmtId="2" fontId="0" fillId="2" borderId="1" xfId="0" applyNumberFormat="1" applyFill="1" applyBorder="1"/>
    <xf numFmtId="2" fontId="0" fillId="0" borderId="5" xfId="0" applyNumberFormat="1" applyBorder="1"/>
    <xf numFmtId="2" fontId="1" fillId="7" borderId="11" xfId="0" applyNumberFormat="1" applyFont="1" applyFill="1" applyBorder="1" applyAlignment="1">
      <alignment horizontal="center" vertical="top" wrapText="1"/>
    </xf>
    <xf numFmtId="0" fontId="0" fillId="7" borderId="21" xfId="0" applyFill="1" applyBorder="1"/>
    <xf numFmtId="0" fontId="0" fillId="7" borderId="5" xfId="0" applyFill="1" applyBorder="1"/>
    <xf numFmtId="0" fontId="1" fillId="3" borderId="7" xfId="0" applyFont="1" applyFill="1" applyBorder="1" applyAlignment="1">
      <alignment horizontal="center" vertical="top" wrapText="1"/>
    </xf>
    <xf numFmtId="0" fontId="0" fillId="3" borderId="19" xfId="0" applyFill="1" applyBorder="1"/>
    <xf numFmtId="0" fontId="0" fillId="3" borderId="15" xfId="0" applyFill="1" applyBorder="1"/>
    <xf numFmtId="0" fontId="0" fillId="5" borderId="21" xfId="0" applyFill="1" applyBorder="1"/>
    <xf numFmtId="0" fontId="0" fillId="5" borderId="5" xfId="0" applyFill="1" applyBorder="1"/>
    <xf numFmtId="0" fontId="5" fillId="7" borderId="23" xfId="0" applyFont="1" applyFill="1" applyBorder="1" applyAlignment="1">
      <alignment horizontal="center" vertical="top" wrapText="1"/>
    </xf>
    <xf numFmtId="0" fontId="6" fillId="7" borderId="5" xfId="0" applyFont="1" applyFill="1" applyBorder="1"/>
    <xf numFmtId="0" fontId="0" fillId="7" borderId="14" xfId="0" applyFill="1" applyBorder="1"/>
    <xf numFmtId="2" fontId="1" fillId="2" borderId="8" xfId="0" applyNumberFormat="1" applyFont="1" applyFill="1" applyBorder="1" applyAlignment="1">
      <alignment horizontal="center" vertical="top" wrapText="1"/>
    </xf>
    <xf numFmtId="2" fontId="0" fillId="2" borderId="20" xfId="0" applyNumberFormat="1" applyFill="1" applyBorder="1"/>
    <xf numFmtId="2" fontId="0" fillId="2" borderId="16" xfId="0" applyNumberFormat="1" applyFill="1" applyBorder="1"/>
    <xf numFmtId="2" fontId="5" fillId="2" borderId="11" xfId="0" applyNumberFormat="1" applyFont="1" applyFill="1" applyBorder="1" applyAlignment="1">
      <alignment horizontal="center" vertical="top" wrapText="1"/>
    </xf>
    <xf numFmtId="2" fontId="6" fillId="2" borderId="14" xfId="0" applyNumberFormat="1" applyFont="1" applyFill="1" applyBorder="1"/>
    <xf numFmtId="2" fontId="6" fillId="2" borderId="1" xfId="0" applyNumberFormat="1" applyFont="1" applyFill="1" applyBorder="1"/>
    <xf numFmtId="2" fontId="2" fillId="0" borderId="2" xfId="0" applyNumberFormat="1" applyFont="1" applyBorder="1"/>
    <xf numFmtId="2" fontId="2" fillId="0" borderId="3" xfId="0" applyNumberFormat="1" applyFont="1" applyBorder="1"/>
    <xf numFmtId="2" fontId="2" fillId="0" borderId="4" xfId="0" applyNumberFormat="1" applyFont="1" applyBorder="1"/>
    <xf numFmtId="0" fontId="0" fillId="8" borderId="21" xfId="0" applyFill="1" applyBorder="1"/>
    <xf numFmtId="0" fontId="0" fillId="8" borderId="5" xfId="0" applyFill="1" applyBorder="1"/>
    <xf numFmtId="0" fontId="0" fillId="2" borderId="1" xfId="0" applyFill="1" applyBorder="1"/>
    <xf numFmtId="0" fontId="0" fillId="2" borderId="15" xfId="0" applyFill="1" applyBorder="1"/>
    <xf numFmtId="0" fontId="0" fillId="9" borderId="1" xfId="0" applyFill="1" applyBorder="1"/>
    <xf numFmtId="0" fontId="1" fillId="2" borderId="9" xfId="0" applyFont="1" applyFill="1" applyBorder="1" applyAlignment="1">
      <alignment horizontal="center" vertical="top" wrapText="1"/>
    </xf>
    <xf numFmtId="0" fontId="0" fillId="2" borderId="14" xfId="0" applyFill="1" applyBorder="1"/>
    <xf numFmtId="0" fontId="1" fillId="10" borderId="9" xfId="0" applyFont="1" applyFill="1" applyBorder="1" applyAlignment="1">
      <alignment horizontal="center" vertical="top" wrapText="1"/>
    </xf>
    <xf numFmtId="0" fontId="0" fillId="10" borderId="14" xfId="0" applyFill="1" applyBorder="1"/>
    <xf numFmtId="0" fontId="0" fillId="10" borderId="1" xfId="0" applyFill="1" applyBorder="1"/>
    <xf numFmtId="0" fontId="1" fillId="11" borderId="23" xfId="0" applyFont="1" applyFill="1" applyBorder="1" applyAlignment="1">
      <alignment horizontal="center" vertical="top" wrapText="1"/>
    </xf>
    <xf numFmtId="0" fontId="0" fillId="11" borderId="14" xfId="0" applyFill="1" applyBorder="1"/>
    <xf numFmtId="0" fontId="0" fillId="11" borderId="5" xfId="0" applyFill="1" applyBorder="1"/>
    <xf numFmtId="0" fontId="1" fillId="2" borderId="23" xfId="0" applyFont="1" applyFill="1" applyBorder="1" applyAlignment="1">
      <alignment horizontal="center" vertical="top" wrapText="1"/>
    </xf>
    <xf numFmtId="0" fontId="0" fillId="2" borderId="5" xfId="0" applyFill="1" applyBorder="1"/>
    <xf numFmtId="0" fontId="1" fillId="10" borderId="23" xfId="0" applyFont="1" applyFill="1" applyBorder="1" applyAlignment="1">
      <alignment horizontal="center" vertical="top" wrapText="1"/>
    </xf>
    <xf numFmtId="0" fontId="0" fillId="10" borderId="5" xfId="0" applyFill="1" applyBorder="1"/>
    <xf numFmtId="0" fontId="4" fillId="7" borderId="2" xfId="0" applyFont="1" applyFill="1" applyBorder="1"/>
    <xf numFmtId="0" fontId="4" fillId="7" borderId="3" xfId="0" applyFont="1" applyFill="1" applyBorder="1"/>
    <xf numFmtId="0" fontId="4" fillId="7" borderId="4" xfId="0" applyFont="1" applyFill="1" applyBorder="1"/>
    <xf numFmtId="0" fontId="3" fillId="3" borderId="2" xfId="0" applyFont="1" applyFill="1" applyBorder="1"/>
    <xf numFmtId="0" fontId="3" fillId="3" borderId="4" xfId="0" applyFont="1" applyFill="1" applyBorder="1"/>
    <xf numFmtId="0" fontId="3" fillId="4" borderId="2" xfId="0" applyFont="1" applyFill="1" applyBorder="1"/>
    <xf numFmtId="0" fontId="3" fillId="4" borderId="4" xfId="0" applyFont="1" applyFill="1" applyBorder="1"/>
    <xf numFmtId="0" fontId="4" fillId="5" borderId="2" xfId="0" applyFont="1" applyFill="1" applyBorder="1"/>
    <xf numFmtId="0" fontId="4" fillId="5" borderId="4" xfId="0" applyFont="1" applyFill="1" applyBorder="1"/>
    <xf numFmtId="0" fontId="4" fillId="10" borderId="3" xfId="0" applyFont="1" applyFill="1" applyBorder="1"/>
    <xf numFmtId="0" fontId="4" fillId="11" borderId="3" xfId="0" applyFont="1" applyFill="1" applyBorder="1"/>
    <xf numFmtId="0" fontId="3" fillId="0" borderId="0" xfId="0" applyFont="1"/>
    <xf numFmtId="10" fontId="0" fillId="0" borderId="0" xfId="0" applyNumberFormat="1"/>
    <xf numFmtId="0" fontId="1" fillId="0" borderId="25" xfId="0" applyFont="1" applyBorder="1" applyAlignment="1">
      <alignment horizontal="center" vertical="top" wrapText="1"/>
    </xf>
    <xf numFmtId="0" fontId="0" fillId="8" borderId="1" xfId="0" applyFill="1" applyBorder="1"/>
    <xf numFmtId="0" fontId="0" fillId="8" borderId="14" xfId="0" applyFill="1" applyBorder="1"/>
    <xf numFmtId="0" fontId="1" fillId="8" borderId="11" xfId="0" applyFont="1" applyFill="1" applyBorder="1" applyAlignment="1">
      <alignment horizontal="center" vertical="top" wrapText="1"/>
    </xf>
    <xf numFmtId="0" fontId="1" fillId="3" borderId="26" xfId="0" applyFont="1" applyFill="1" applyBorder="1" applyAlignment="1">
      <alignment horizontal="center" vertical="top" wrapText="1"/>
    </xf>
    <xf numFmtId="0" fontId="1" fillId="4" borderId="9" xfId="0" applyFont="1" applyFill="1" applyBorder="1" applyAlignment="1">
      <alignment horizontal="center" vertical="top" wrapText="1"/>
    </xf>
    <xf numFmtId="0" fontId="1" fillId="5" borderId="9" xfId="0" applyFont="1" applyFill="1" applyBorder="1" applyAlignment="1">
      <alignment horizontal="center" vertical="top" wrapText="1"/>
    </xf>
    <xf numFmtId="0" fontId="1" fillId="8" borderId="9" xfId="0" applyFont="1" applyFill="1" applyBorder="1" applyAlignment="1">
      <alignment horizontal="center" vertical="top" wrapText="1"/>
    </xf>
    <xf numFmtId="0" fontId="1" fillId="12" borderId="9" xfId="0" applyFont="1" applyFill="1" applyBorder="1" applyAlignment="1">
      <alignment horizontal="center" vertical="top" wrapText="1"/>
    </xf>
    <xf numFmtId="0" fontId="0" fillId="12" borderId="14" xfId="0" applyFill="1" applyBorder="1"/>
    <xf numFmtId="0" fontId="0" fillId="12" borderId="1" xfId="0" applyFill="1" applyBorder="1"/>
    <xf numFmtId="0" fontId="1" fillId="13" borderId="9" xfId="0" applyFont="1" applyFill="1" applyBorder="1" applyAlignment="1">
      <alignment horizontal="center" vertical="top" wrapText="1"/>
    </xf>
    <xf numFmtId="0" fontId="0" fillId="13" borderId="14" xfId="0" applyFill="1" applyBorder="1"/>
    <xf numFmtId="0" fontId="0" fillId="13" borderId="1" xfId="0" applyFill="1" applyBorder="1"/>
    <xf numFmtId="0" fontId="1" fillId="14" borderId="9" xfId="0" applyFont="1" applyFill="1" applyBorder="1" applyAlignment="1">
      <alignment horizontal="center" vertical="top" wrapText="1"/>
    </xf>
    <xf numFmtId="0" fontId="0" fillId="14" borderId="14" xfId="0" applyFill="1" applyBorder="1"/>
    <xf numFmtId="0" fontId="0" fillId="14" borderId="1" xfId="0" applyFill="1" applyBorder="1"/>
    <xf numFmtId="0" fontId="1" fillId="9" borderId="9" xfId="0" applyFont="1" applyFill="1" applyBorder="1" applyAlignment="1">
      <alignment horizontal="center" vertical="top" wrapText="1"/>
    </xf>
    <xf numFmtId="0" fontId="0" fillId="9" borderId="14" xfId="0" applyFill="1" applyBorder="1"/>
    <xf numFmtId="0" fontId="2" fillId="7" borderId="3" xfId="0" applyFont="1" applyFill="1" applyBorder="1" applyAlignment="1">
      <alignment horizontal="center"/>
    </xf>
    <xf numFmtId="0" fontId="1" fillId="15" borderId="10" xfId="0" applyFont="1" applyFill="1" applyBorder="1" applyAlignment="1">
      <alignment horizontal="center" vertical="top" wrapText="1"/>
    </xf>
    <xf numFmtId="0" fontId="0" fillId="15" borderId="14" xfId="0" applyFill="1" applyBorder="1"/>
    <xf numFmtId="0" fontId="0" fillId="15" borderId="1" xfId="0" applyFill="1" applyBorder="1"/>
    <xf numFmtId="0" fontId="2" fillId="7" borderId="2" xfId="0" applyFont="1" applyFill="1" applyBorder="1"/>
    <xf numFmtId="0" fontId="2" fillId="7" borderId="3" xfId="0" applyFont="1" applyFill="1" applyBorder="1"/>
    <xf numFmtId="0" fontId="2" fillId="7" borderId="4" xfId="0" applyFont="1" applyFill="1" applyBorder="1" applyAlignment="1">
      <alignment horizontal="center"/>
    </xf>
    <xf numFmtId="0" fontId="4" fillId="12" borderId="2" xfId="0" applyFont="1" applyFill="1" applyBorder="1"/>
    <xf numFmtId="0" fontId="4" fillId="12" borderId="4" xfId="0" applyFont="1" applyFill="1" applyBorder="1"/>
    <xf numFmtId="0" fontId="1" fillId="12" borderId="7" xfId="0" applyFont="1" applyFill="1" applyBorder="1" applyAlignment="1">
      <alignment horizontal="center" vertical="top" wrapText="1"/>
    </xf>
    <xf numFmtId="0" fontId="1" fillId="12" borderId="11" xfId="0" applyFont="1" applyFill="1" applyBorder="1" applyAlignment="1">
      <alignment horizontal="center" vertical="top" wrapText="1"/>
    </xf>
    <xf numFmtId="0" fontId="5" fillId="12" borderId="8" xfId="0" applyFont="1" applyFill="1" applyBorder="1" applyAlignment="1">
      <alignment horizontal="center" vertical="top" wrapText="1"/>
    </xf>
    <xf numFmtId="0" fontId="0" fillId="12" borderId="19" xfId="0" applyFill="1" applyBorder="1"/>
    <xf numFmtId="0" fontId="2" fillId="12" borderId="20" xfId="0" applyFont="1" applyFill="1" applyBorder="1" applyAlignment="1">
      <alignment horizontal="center"/>
    </xf>
    <xf numFmtId="0" fontId="0" fillId="12" borderId="15" xfId="0" applyFill="1" applyBorder="1"/>
    <xf numFmtId="0" fontId="6" fillId="12" borderId="16" xfId="0" applyFont="1" applyFill="1" applyBorder="1"/>
    <xf numFmtId="0" fontId="4" fillId="13" borderId="2" xfId="0" applyFont="1" applyFill="1" applyBorder="1"/>
    <xf numFmtId="0" fontId="4" fillId="13" borderId="4" xfId="0" applyFont="1" applyFill="1" applyBorder="1"/>
    <xf numFmtId="0" fontId="1" fillId="13" borderId="7" xfId="0" applyFont="1" applyFill="1" applyBorder="1" applyAlignment="1">
      <alignment horizontal="center" vertical="top" wrapText="1"/>
    </xf>
    <xf numFmtId="0" fontId="1" fillId="13" borderId="11" xfId="0" applyFont="1" applyFill="1" applyBorder="1" applyAlignment="1">
      <alignment horizontal="center" vertical="top" wrapText="1"/>
    </xf>
    <xf numFmtId="0" fontId="5" fillId="13" borderId="8" xfId="0" applyFont="1" applyFill="1" applyBorder="1" applyAlignment="1">
      <alignment horizontal="center" vertical="top" wrapText="1"/>
    </xf>
    <xf numFmtId="0" fontId="0" fillId="13" borderId="19" xfId="0" applyFill="1" applyBorder="1"/>
    <xf numFmtId="0" fontId="2" fillId="13" borderId="20" xfId="0" applyFont="1" applyFill="1" applyBorder="1" applyAlignment="1">
      <alignment horizontal="center"/>
    </xf>
    <xf numFmtId="0" fontId="0" fillId="13" borderId="15" xfId="0" applyFill="1" applyBorder="1"/>
    <xf numFmtId="0" fontId="6" fillId="13" borderId="16" xfId="0" applyFont="1" applyFill="1" applyBorder="1"/>
    <xf numFmtId="0" fontId="4" fillId="14" borderId="2" xfId="0" applyFont="1" applyFill="1" applyBorder="1"/>
    <xf numFmtId="0" fontId="4" fillId="14" borderId="4" xfId="0" applyFont="1" applyFill="1" applyBorder="1"/>
    <xf numFmtId="0" fontId="1" fillId="14" borderId="7" xfId="0" applyFont="1" applyFill="1" applyBorder="1" applyAlignment="1">
      <alignment horizontal="center" vertical="top" wrapText="1"/>
    </xf>
    <xf numFmtId="0" fontId="1" fillId="14" borderId="11" xfId="0" applyFont="1" applyFill="1" applyBorder="1" applyAlignment="1">
      <alignment horizontal="center" vertical="top" wrapText="1"/>
    </xf>
    <xf numFmtId="0" fontId="5" fillId="14" borderId="8" xfId="0" applyFont="1" applyFill="1" applyBorder="1" applyAlignment="1">
      <alignment horizontal="center" vertical="top" wrapText="1"/>
    </xf>
    <xf numFmtId="0" fontId="0" fillId="14" borderId="19" xfId="0" applyFill="1" applyBorder="1"/>
    <xf numFmtId="0" fontId="2" fillId="14" borderId="20" xfId="0" applyFont="1" applyFill="1" applyBorder="1" applyAlignment="1">
      <alignment horizontal="center"/>
    </xf>
    <xf numFmtId="0" fontId="0" fillId="14" borderId="15" xfId="0" applyFill="1" applyBorder="1"/>
    <xf numFmtId="0" fontId="6" fillId="14" borderId="16" xfId="0" applyFont="1" applyFill="1" applyBorder="1"/>
    <xf numFmtId="0" fontId="4" fillId="2" borderId="2" xfId="0" applyFont="1" applyFill="1" applyBorder="1"/>
    <xf numFmtId="0" fontId="4" fillId="2" borderId="4" xfId="0" applyFont="1" applyFill="1" applyBorder="1"/>
    <xf numFmtId="0" fontId="1" fillId="2" borderId="7" xfId="0" applyFont="1" applyFill="1" applyBorder="1" applyAlignment="1">
      <alignment horizontal="center" vertical="top" wrapText="1"/>
    </xf>
    <xf numFmtId="0" fontId="1" fillId="2" borderId="11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0" fontId="0" fillId="2" borderId="19" xfId="0" applyFill="1" applyBorder="1"/>
    <xf numFmtId="0" fontId="2" fillId="2" borderId="20" xfId="0" applyFont="1" applyFill="1" applyBorder="1" applyAlignment="1">
      <alignment horizontal="center"/>
    </xf>
    <xf numFmtId="0" fontId="6" fillId="2" borderId="16" xfId="0" applyFont="1" applyFill="1" applyBorder="1"/>
    <xf numFmtId="0" fontId="4" fillId="9" borderId="2" xfId="0" applyFont="1" applyFill="1" applyBorder="1"/>
    <xf numFmtId="0" fontId="4" fillId="9" borderId="4" xfId="0" applyFont="1" applyFill="1" applyBorder="1"/>
    <xf numFmtId="0" fontId="1" fillId="9" borderId="7" xfId="0" applyFont="1" applyFill="1" applyBorder="1" applyAlignment="1">
      <alignment horizontal="center" vertical="top" wrapText="1"/>
    </xf>
    <xf numFmtId="0" fontId="1" fillId="9" borderId="11" xfId="0" applyFont="1" applyFill="1" applyBorder="1" applyAlignment="1">
      <alignment horizontal="center" vertical="top" wrapText="1"/>
    </xf>
    <xf numFmtId="0" fontId="5" fillId="9" borderId="8" xfId="0" applyFont="1" applyFill="1" applyBorder="1" applyAlignment="1">
      <alignment horizontal="center" vertical="top" wrapText="1"/>
    </xf>
    <xf numFmtId="0" fontId="0" fillId="9" borderId="19" xfId="0" applyFill="1" applyBorder="1"/>
    <xf numFmtId="0" fontId="2" fillId="9" borderId="20" xfId="0" applyFont="1" applyFill="1" applyBorder="1" applyAlignment="1">
      <alignment horizontal="center"/>
    </xf>
    <xf numFmtId="0" fontId="0" fillId="9" borderId="15" xfId="0" applyFill="1" applyBorder="1"/>
    <xf numFmtId="0" fontId="6" fillId="9" borderId="16" xfId="0" applyFont="1" applyFill="1" applyBorder="1"/>
    <xf numFmtId="0" fontId="4" fillId="15" borderId="2" xfId="0" applyFont="1" applyFill="1" applyBorder="1"/>
    <xf numFmtId="0" fontId="4" fillId="15" borderId="4" xfId="0" applyFont="1" applyFill="1" applyBorder="1"/>
    <xf numFmtId="0" fontId="1" fillId="15" borderId="7" xfId="0" applyFont="1" applyFill="1" applyBorder="1" applyAlignment="1">
      <alignment horizontal="center" vertical="top" wrapText="1"/>
    </xf>
    <xf numFmtId="0" fontId="1" fillId="15" borderId="11" xfId="0" applyFont="1" applyFill="1" applyBorder="1" applyAlignment="1">
      <alignment horizontal="center" vertical="top" wrapText="1"/>
    </xf>
    <xf numFmtId="0" fontId="5" fillId="15" borderId="8" xfId="0" applyFont="1" applyFill="1" applyBorder="1" applyAlignment="1">
      <alignment horizontal="center" vertical="top" wrapText="1"/>
    </xf>
    <xf numFmtId="0" fontId="0" fillId="15" borderId="19" xfId="0" applyFill="1" applyBorder="1"/>
    <xf numFmtId="0" fontId="2" fillId="15" borderId="20" xfId="0" applyFont="1" applyFill="1" applyBorder="1" applyAlignment="1">
      <alignment horizontal="center"/>
    </xf>
    <xf numFmtId="0" fontId="0" fillId="15" borderId="15" xfId="0" applyFill="1" applyBorder="1"/>
    <xf numFmtId="0" fontId="6" fillId="15" borderId="16" xfId="0" applyFont="1" applyFill="1" applyBorder="1"/>
    <xf numFmtId="0" fontId="4" fillId="8" borderId="2" xfId="0" applyFont="1" applyFill="1" applyBorder="1"/>
    <xf numFmtId="0" fontId="4" fillId="8" borderId="4" xfId="0" applyFont="1" applyFill="1" applyBorder="1"/>
    <xf numFmtId="0" fontId="1" fillId="8" borderId="7" xfId="0" applyFont="1" applyFill="1" applyBorder="1" applyAlignment="1">
      <alignment horizontal="center" vertical="top" wrapText="1"/>
    </xf>
    <xf numFmtId="0" fontId="5" fillId="8" borderId="8" xfId="0" applyFont="1" applyFill="1" applyBorder="1" applyAlignment="1">
      <alignment horizontal="center" vertical="top" wrapText="1"/>
    </xf>
    <xf numFmtId="0" fontId="0" fillId="8" borderId="19" xfId="0" applyFill="1" applyBorder="1"/>
    <xf numFmtId="0" fontId="2" fillId="8" borderId="20" xfId="0" applyFont="1" applyFill="1" applyBorder="1" applyAlignment="1">
      <alignment horizontal="center"/>
    </xf>
    <xf numFmtId="0" fontId="0" fillId="8" borderId="15" xfId="0" applyFill="1" applyBorder="1"/>
    <xf numFmtId="0" fontId="6" fillId="8" borderId="16" xfId="0" applyFont="1" applyFill="1" applyBorder="1"/>
    <xf numFmtId="0" fontId="0" fillId="0" borderId="24" xfId="0" applyBorder="1"/>
    <xf numFmtId="1" fontId="0" fillId="0" borderId="33" xfId="0" applyNumberFormat="1" applyBorder="1"/>
    <xf numFmtId="1" fontId="0" fillId="0" borderId="34" xfId="0" applyNumberFormat="1" applyBorder="1"/>
    <xf numFmtId="0" fontId="0" fillId="0" borderId="35" xfId="0" applyBorder="1"/>
    <xf numFmtId="0" fontId="0" fillId="0" borderId="33" xfId="0" applyBorder="1"/>
    <xf numFmtId="0" fontId="0" fillId="0" borderId="34" xfId="0" applyBorder="1"/>
    <xf numFmtId="10" fontId="0" fillId="0" borderId="35" xfId="0" applyNumberFormat="1" applyBorder="1"/>
    <xf numFmtId="0" fontId="0" fillId="0" borderId="36" xfId="0" applyBorder="1"/>
    <xf numFmtId="1" fontId="0" fillId="0" borderId="36" xfId="0" applyNumberFormat="1" applyBorder="1"/>
    <xf numFmtId="0" fontId="1" fillId="10" borderId="11" xfId="0" applyFont="1" applyFill="1" applyBorder="1" applyAlignment="1">
      <alignment horizontal="center" vertical="top" wrapText="1"/>
    </xf>
    <xf numFmtId="0" fontId="1" fillId="11" borderId="12" xfId="0" applyFont="1" applyFill="1" applyBorder="1" applyAlignment="1">
      <alignment horizontal="center"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10" borderId="12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7" borderId="0" xfId="0" applyFont="1" applyFill="1" applyAlignment="1">
      <alignment horizontal="center" vertical="top" wrapText="1"/>
    </xf>
    <xf numFmtId="0" fontId="1" fillId="10" borderId="2" xfId="0" applyFont="1" applyFill="1" applyBorder="1" applyAlignment="1">
      <alignment horizontal="center" vertical="top" wrapText="1"/>
    </xf>
    <xf numFmtId="0" fontId="1" fillId="10" borderId="8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1" fillId="2" borderId="24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2.4502297090352222E-2"/>
          <c:y val="3.0165912518853814E-2"/>
          <c:w val="0.83317102973154389"/>
          <c:h val="0.93363499245852433"/>
        </c:manualLayout>
      </c:layout>
      <c:pie3DChart>
        <c:varyColors val="1"/>
        <c:ser>
          <c:idx val="0"/>
          <c:order val="0"/>
          <c:explosion val="25"/>
          <c:cat>
            <c:strRef>
              <c:f>' selon formule'!$E$1:$E$10</c:f>
              <c:strCache>
                <c:ptCount val="10"/>
                <c:pt idx="0">
                  <c:v>BARRETT</c:v>
                </c:pt>
                <c:pt idx="1">
                  <c:v>HAIGIS</c:v>
                </c:pt>
                <c:pt idx="2">
                  <c:v>SRK/T</c:v>
                </c:pt>
                <c:pt idx="3">
                  <c:v>Zeiss</c:v>
                </c:pt>
                <c:pt idx="4">
                  <c:v>Cooke k6</c:v>
                </c:pt>
                <c:pt idx="5">
                  <c:v>EVO</c:v>
                </c:pt>
                <c:pt idx="6">
                  <c:v>Hill-RBF</c:v>
                </c:pt>
                <c:pt idx="7">
                  <c:v>Hoffer QST</c:v>
                </c:pt>
                <c:pt idx="8">
                  <c:v>Kane</c:v>
                </c:pt>
                <c:pt idx="9">
                  <c:v>Pearl DGS</c:v>
                </c:pt>
              </c:strCache>
            </c:strRef>
          </c:cat>
          <c:val>
            <c:numRef>
              <c:f>' selon formule'!$F$1:$F$10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10-E344-A253-94CE48EAF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40000"/>
                <a:lumOff val="60000"/>
              </a:schemeClr>
            </a:solidFill>
          </c:spPr>
          <c:invertIfNegative val="0"/>
          <c:cat>
            <c:strRef>
              <c:f>' selon Dptr et formule'!$A$6:$A$14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selon Dptr et formule'!$B$6:$B$14</c:f>
              <c:numCache>
                <c:formatCode>0.00%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B6-594B-85BD-E2EA72D35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808960"/>
        <c:axId val="186823040"/>
      </c:barChart>
      <c:catAx>
        <c:axId val="1868089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6823040"/>
        <c:crosses val="autoZero"/>
        <c:auto val="1"/>
        <c:lblAlgn val="ctr"/>
        <c:lblOffset val="100"/>
        <c:noMultiLvlLbl val="0"/>
      </c:catAx>
      <c:valAx>
        <c:axId val="18682304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868089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40000"/>
                <a:lumOff val="60000"/>
              </a:schemeClr>
            </a:solidFill>
          </c:spPr>
          <c:invertIfNegative val="0"/>
          <c:cat>
            <c:strRef>
              <c:f>' selon Dptr et formule'!$A$18:$A$26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selon Dptr et formule'!$B$18:$B$26</c:f>
              <c:numCache>
                <c:formatCode>0.00%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B3-4947-AE1D-AE73E47CE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862976"/>
        <c:axId val="186868864"/>
      </c:barChart>
      <c:catAx>
        <c:axId val="1868629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6868864"/>
        <c:crosses val="autoZero"/>
        <c:auto val="1"/>
        <c:lblAlgn val="ctr"/>
        <c:lblOffset val="100"/>
        <c:noMultiLvlLbl val="0"/>
      </c:catAx>
      <c:valAx>
        <c:axId val="18686886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868629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40000"/>
                <a:lumOff val="60000"/>
              </a:schemeClr>
            </a:solidFill>
          </c:spPr>
          <c:invertIfNegative val="0"/>
          <c:cat>
            <c:strRef>
              <c:f>' selon Dptr et formule'!$A$30:$A$38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selon Dptr et formule'!$B$30:$B$38</c:f>
              <c:numCache>
                <c:formatCode>0.00%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45-9B4E-B253-B213A1E7C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888576"/>
        <c:axId val="186890112"/>
      </c:barChart>
      <c:catAx>
        <c:axId val="1868885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6890112"/>
        <c:crosses val="autoZero"/>
        <c:auto val="1"/>
        <c:lblAlgn val="ctr"/>
        <c:lblOffset val="100"/>
        <c:noMultiLvlLbl val="0"/>
      </c:catAx>
      <c:valAx>
        <c:axId val="18689011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868885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40000"/>
                <a:lumOff val="60000"/>
              </a:schemeClr>
            </a:solidFill>
          </c:spPr>
          <c:invertIfNegative val="0"/>
          <c:cat>
            <c:strRef>
              <c:f>' selon Dptr et formule'!$A$42:$A$50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selon Dptr et formule'!$B$42:$B$50</c:f>
              <c:numCache>
                <c:formatCode>0.00%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11-C244-A516-7E6C79D19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713216"/>
        <c:axId val="186714752"/>
      </c:barChart>
      <c:catAx>
        <c:axId val="1867132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6714752"/>
        <c:crosses val="autoZero"/>
        <c:auto val="1"/>
        <c:lblAlgn val="ctr"/>
        <c:lblOffset val="100"/>
        <c:noMultiLvlLbl val="0"/>
      </c:catAx>
      <c:valAx>
        <c:axId val="18671475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867132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20000"/>
                <a:lumOff val="80000"/>
              </a:schemeClr>
            </a:solidFill>
          </c:spPr>
          <c:invertIfNegative val="0"/>
          <c:cat>
            <c:strRef>
              <c:f>' selon Dptr et formule'!$A$54:$A$62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selon Dptr et formule'!$B$54:$B$62</c:f>
              <c:numCache>
                <c:formatCode>0.00%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7-2E41-983B-59B854B4D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730368"/>
        <c:axId val="186731904"/>
      </c:barChart>
      <c:catAx>
        <c:axId val="1867303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6731904"/>
        <c:crosses val="autoZero"/>
        <c:auto val="1"/>
        <c:lblAlgn val="ctr"/>
        <c:lblOffset val="100"/>
        <c:noMultiLvlLbl val="0"/>
      </c:catAx>
      <c:valAx>
        <c:axId val="18673190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86730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20000"/>
                <a:lumOff val="80000"/>
              </a:schemeClr>
            </a:solidFill>
          </c:spPr>
          <c:invertIfNegative val="0"/>
          <c:cat>
            <c:strRef>
              <c:f>' selon Dptr et formule'!$A$66:$A$74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selon Dptr et formule'!$B$66:$B$74</c:f>
              <c:numCache>
                <c:formatCode>0.00%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64-9C40-9F66-E4CFC8A9F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772096"/>
        <c:axId val="186773888"/>
      </c:barChart>
      <c:catAx>
        <c:axId val="1867720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6773888"/>
        <c:crosses val="autoZero"/>
        <c:auto val="1"/>
        <c:lblAlgn val="ctr"/>
        <c:lblOffset val="100"/>
        <c:noMultiLvlLbl val="0"/>
      </c:catAx>
      <c:valAx>
        <c:axId val="18677388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86772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95000"/>
              </a:schemeClr>
            </a:solidFill>
          </c:spPr>
          <c:invertIfNegative val="0"/>
          <c:cat>
            <c:strRef>
              <c:f>' selon Dptr et formule'!$A$78:$A$86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selon Dptr et formule'!$B$78:$B$86</c:f>
              <c:numCache>
                <c:formatCode>0.00%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C0-964A-BA11-E5D34C6A7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912128"/>
        <c:axId val="186938496"/>
      </c:barChart>
      <c:catAx>
        <c:axId val="1869121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6938496"/>
        <c:crosses val="autoZero"/>
        <c:auto val="1"/>
        <c:lblAlgn val="ctr"/>
        <c:lblOffset val="100"/>
        <c:noMultiLvlLbl val="0"/>
      </c:catAx>
      <c:valAx>
        <c:axId val="18693849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869121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90000"/>
              </a:schemeClr>
            </a:solidFill>
            <a:ln>
              <a:noFill/>
            </a:ln>
          </c:spPr>
          <c:invertIfNegative val="0"/>
          <c:cat>
            <c:strRef>
              <c:f>' selon Dptr et formule'!$A$90:$A$98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selon Dptr et formule'!$B$90:$B$98</c:f>
              <c:numCache>
                <c:formatCode>0.00%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36-D844-8C0E-282616033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966400"/>
        <c:axId val="186967936"/>
      </c:barChart>
      <c:catAx>
        <c:axId val="1869664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6967936"/>
        <c:crosses val="autoZero"/>
        <c:auto val="1"/>
        <c:lblAlgn val="ctr"/>
        <c:lblOffset val="100"/>
        <c:noMultiLvlLbl val="0"/>
      </c:catAx>
      <c:valAx>
        <c:axId val="18696793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869664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20000"/>
                <a:lumOff val="80000"/>
              </a:schemeClr>
            </a:solidFill>
          </c:spPr>
          <c:invertIfNegative val="0"/>
          <c:cat>
            <c:strRef>
              <c:f>' selon Dptr et formule'!$A$102:$A$110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selon Dptr et formule'!$B$102:$B$110</c:f>
              <c:numCache>
                <c:formatCode>0.00%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AF-9C4D-8E76-27A7FFB1D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995840"/>
        <c:axId val="186997376"/>
      </c:barChart>
      <c:catAx>
        <c:axId val="186995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6997376"/>
        <c:crosses val="autoZero"/>
        <c:auto val="1"/>
        <c:lblAlgn val="ctr"/>
        <c:lblOffset val="100"/>
        <c:noMultiLvlLbl val="0"/>
      </c:catAx>
      <c:valAx>
        <c:axId val="18699737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86995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strRef>
              <c:f>' selon Dptr et formule'!$A$114:$A$122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selon Dptr et formule'!$B$114:$B$122</c:f>
              <c:numCache>
                <c:formatCode>0.00%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30-E14A-8116-180F98F30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021184"/>
        <c:axId val="187022720"/>
      </c:barChart>
      <c:catAx>
        <c:axId val="1870211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7022720"/>
        <c:crosses val="autoZero"/>
        <c:auto val="1"/>
        <c:lblAlgn val="ctr"/>
        <c:lblOffset val="100"/>
        <c:noMultiLvlLbl val="0"/>
      </c:catAx>
      <c:valAx>
        <c:axId val="18702272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87021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 selon Dptr et formule'!$L$1</c:f>
              <c:strCache>
                <c:ptCount val="1"/>
                <c:pt idx="0">
                  <c:v>&gt;+1,0</c:v>
                </c:pt>
              </c:strCache>
            </c:strRef>
          </c:tx>
          <c:invertIfNegative val="0"/>
          <c:cat>
            <c:strRef>
              <c:f>' selon Dptr et formule'!$K$2:$K$11</c:f>
              <c:strCache>
                <c:ptCount val="10"/>
                <c:pt idx="0">
                  <c:v>BARRETT</c:v>
                </c:pt>
                <c:pt idx="1">
                  <c:v>HAIGIS</c:v>
                </c:pt>
                <c:pt idx="2">
                  <c:v>SRK/T</c:v>
                </c:pt>
                <c:pt idx="3">
                  <c:v>zeiss</c:v>
                </c:pt>
                <c:pt idx="4">
                  <c:v>Cooke K6</c:v>
                </c:pt>
                <c:pt idx="5">
                  <c:v>EVO</c:v>
                </c:pt>
                <c:pt idx="6">
                  <c:v>Hill-RBF</c:v>
                </c:pt>
                <c:pt idx="7">
                  <c:v>Hoffer QST</c:v>
                </c:pt>
                <c:pt idx="8">
                  <c:v>Kane</c:v>
                </c:pt>
                <c:pt idx="9">
                  <c:v>Pearl DGS</c:v>
                </c:pt>
              </c:strCache>
            </c:strRef>
          </c:cat>
          <c:val>
            <c:numRef>
              <c:f>' selon Dptr et formule'!$L$2:$L$11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AD-EF47-BA00-386832C3C6D8}"/>
            </c:ext>
          </c:extLst>
        </c:ser>
        <c:ser>
          <c:idx val="1"/>
          <c:order val="1"/>
          <c:tx>
            <c:strRef>
              <c:f>' selon Dptr et formule'!$M$1</c:f>
              <c:strCache>
                <c:ptCount val="1"/>
                <c:pt idx="0">
                  <c:v> +1,0 à +0,76</c:v>
                </c:pt>
              </c:strCache>
            </c:strRef>
          </c:tx>
          <c:invertIfNegative val="0"/>
          <c:cat>
            <c:strRef>
              <c:f>' selon Dptr et formule'!$K$2:$K$11</c:f>
              <c:strCache>
                <c:ptCount val="10"/>
                <c:pt idx="0">
                  <c:v>BARRETT</c:v>
                </c:pt>
                <c:pt idx="1">
                  <c:v>HAIGIS</c:v>
                </c:pt>
                <c:pt idx="2">
                  <c:v>SRK/T</c:v>
                </c:pt>
                <c:pt idx="3">
                  <c:v>zeiss</c:v>
                </c:pt>
                <c:pt idx="4">
                  <c:v>Cooke K6</c:v>
                </c:pt>
                <c:pt idx="5">
                  <c:v>EVO</c:v>
                </c:pt>
                <c:pt idx="6">
                  <c:v>Hill-RBF</c:v>
                </c:pt>
                <c:pt idx="7">
                  <c:v>Hoffer QST</c:v>
                </c:pt>
                <c:pt idx="8">
                  <c:v>Kane</c:v>
                </c:pt>
                <c:pt idx="9">
                  <c:v>Pearl DGS</c:v>
                </c:pt>
              </c:strCache>
            </c:strRef>
          </c:cat>
          <c:val>
            <c:numRef>
              <c:f>' selon Dptr et formule'!$M$2:$M$11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AD-EF47-BA00-386832C3C6D8}"/>
            </c:ext>
          </c:extLst>
        </c:ser>
        <c:ser>
          <c:idx val="2"/>
          <c:order val="2"/>
          <c:tx>
            <c:strRef>
              <c:f>' selon Dptr et formule'!$N$1</c:f>
              <c:strCache>
                <c:ptCount val="1"/>
                <c:pt idx="0">
                  <c:v> +0,75 à +0,51</c:v>
                </c:pt>
              </c:strCache>
            </c:strRef>
          </c:tx>
          <c:invertIfNegative val="0"/>
          <c:cat>
            <c:strRef>
              <c:f>' selon Dptr et formule'!$K$2:$K$11</c:f>
              <c:strCache>
                <c:ptCount val="10"/>
                <c:pt idx="0">
                  <c:v>BARRETT</c:v>
                </c:pt>
                <c:pt idx="1">
                  <c:v>HAIGIS</c:v>
                </c:pt>
                <c:pt idx="2">
                  <c:v>SRK/T</c:v>
                </c:pt>
                <c:pt idx="3">
                  <c:v>zeiss</c:v>
                </c:pt>
                <c:pt idx="4">
                  <c:v>Cooke K6</c:v>
                </c:pt>
                <c:pt idx="5">
                  <c:v>EVO</c:v>
                </c:pt>
                <c:pt idx="6">
                  <c:v>Hill-RBF</c:v>
                </c:pt>
                <c:pt idx="7">
                  <c:v>Hoffer QST</c:v>
                </c:pt>
                <c:pt idx="8">
                  <c:v>Kane</c:v>
                </c:pt>
                <c:pt idx="9">
                  <c:v>Pearl DGS</c:v>
                </c:pt>
              </c:strCache>
            </c:strRef>
          </c:cat>
          <c:val>
            <c:numRef>
              <c:f>' selon Dptr et formule'!$N$2:$N$11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AD-EF47-BA00-386832C3C6D8}"/>
            </c:ext>
          </c:extLst>
        </c:ser>
        <c:ser>
          <c:idx val="3"/>
          <c:order val="3"/>
          <c:tx>
            <c:strRef>
              <c:f>' selon Dptr et formule'!$O$1</c:f>
              <c:strCache>
                <c:ptCount val="1"/>
                <c:pt idx="0">
                  <c:v> +0,50 à +0,26</c:v>
                </c:pt>
              </c:strCache>
            </c:strRef>
          </c:tx>
          <c:invertIfNegative val="0"/>
          <c:cat>
            <c:strRef>
              <c:f>' selon Dptr et formule'!$K$2:$K$11</c:f>
              <c:strCache>
                <c:ptCount val="10"/>
                <c:pt idx="0">
                  <c:v>BARRETT</c:v>
                </c:pt>
                <c:pt idx="1">
                  <c:v>HAIGIS</c:v>
                </c:pt>
                <c:pt idx="2">
                  <c:v>SRK/T</c:v>
                </c:pt>
                <c:pt idx="3">
                  <c:v>zeiss</c:v>
                </c:pt>
                <c:pt idx="4">
                  <c:v>Cooke K6</c:v>
                </c:pt>
                <c:pt idx="5">
                  <c:v>EVO</c:v>
                </c:pt>
                <c:pt idx="6">
                  <c:v>Hill-RBF</c:v>
                </c:pt>
                <c:pt idx="7">
                  <c:v>Hoffer QST</c:v>
                </c:pt>
                <c:pt idx="8">
                  <c:v>Kane</c:v>
                </c:pt>
                <c:pt idx="9">
                  <c:v>Pearl DGS</c:v>
                </c:pt>
              </c:strCache>
            </c:strRef>
          </c:cat>
          <c:val>
            <c:numRef>
              <c:f>' selon Dptr et formule'!$O$2:$O$11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AD-EF47-BA00-386832C3C6D8}"/>
            </c:ext>
          </c:extLst>
        </c:ser>
        <c:ser>
          <c:idx val="4"/>
          <c:order val="4"/>
          <c:tx>
            <c:strRef>
              <c:f>' selon Dptr et formule'!$P$1</c:f>
              <c:strCache>
                <c:ptCount val="1"/>
                <c:pt idx="0">
                  <c:v> +0,25 à -0,25</c:v>
                </c:pt>
              </c:strCache>
            </c:strRef>
          </c:tx>
          <c:invertIfNegative val="0"/>
          <c:cat>
            <c:strRef>
              <c:f>' selon Dptr et formule'!$K$2:$K$11</c:f>
              <c:strCache>
                <c:ptCount val="10"/>
                <c:pt idx="0">
                  <c:v>BARRETT</c:v>
                </c:pt>
                <c:pt idx="1">
                  <c:v>HAIGIS</c:v>
                </c:pt>
                <c:pt idx="2">
                  <c:v>SRK/T</c:v>
                </c:pt>
                <c:pt idx="3">
                  <c:v>zeiss</c:v>
                </c:pt>
                <c:pt idx="4">
                  <c:v>Cooke K6</c:v>
                </c:pt>
                <c:pt idx="5">
                  <c:v>EVO</c:v>
                </c:pt>
                <c:pt idx="6">
                  <c:v>Hill-RBF</c:v>
                </c:pt>
                <c:pt idx="7">
                  <c:v>Hoffer QST</c:v>
                </c:pt>
                <c:pt idx="8">
                  <c:v>Kane</c:v>
                </c:pt>
                <c:pt idx="9">
                  <c:v>Pearl DGS</c:v>
                </c:pt>
              </c:strCache>
            </c:strRef>
          </c:cat>
          <c:val>
            <c:numRef>
              <c:f>' selon Dptr et formule'!$P$2:$P$11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AD-EF47-BA00-386832C3C6D8}"/>
            </c:ext>
          </c:extLst>
        </c:ser>
        <c:ser>
          <c:idx val="5"/>
          <c:order val="5"/>
          <c:tx>
            <c:strRef>
              <c:f>' selon Dptr et formule'!$Q$1</c:f>
              <c:strCache>
                <c:ptCount val="1"/>
                <c:pt idx="0">
                  <c:v> -0,26 à -0,50</c:v>
                </c:pt>
              </c:strCache>
            </c:strRef>
          </c:tx>
          <c:invertIfNegative val="0"/>
          <c:cat>
            <c:strRef>
              <c:f>' selon Dptr et formule'!$K$2:$K$11</c:f>
              <c:strCache>
                <c:ptCount val="10"/>
                <c:pt idx="0">
                  <c:v>BARRETT</c:v>
                </c:pt>
                <c:pt idx="1">
                  <c:v>HAIGIS</c:v>
                </c:pt>
                <c:pt idx="2">
                  <c:v>SRK/T</c:v>
                </c:pt>
                <c:pt idx="3">
                  <c:v>zeiss</c:v>
                </c:pt>
                <c:pt idx="4">
                  <c:v>Cooke K6</c:v>
                </c:pt>
                <c:pt idx="5">
                  <c:v>EVO</c:v>
                </c:pt>
                <c:pt idx="6">
                  <c:v>Hill-RBF</c:v>
                </c:pt>
                <c:pt idx="7">
                  <c:v>Hoffer QST</c:v>
                </c:pt>
                <c:pt idx="8">
                  <c:v>Kane</c:v>
                </c:pt>
                <c:pt idx="9">
                  <c:v>Pearl DGS</c:v>
                </c:pt>
              </c:strCache>
            </c:strRef>
          </c:cat>
          <c:val>
            <c:numRef>
              <c:f>' selon Dptr et formule'!$Q$2:$Q$11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AD-EF47-BA00-386832C3C6D8}"/>
            </c:ext>
          </c:extLst>
        </c:ser>
        <c:ser>
          <c:idx val="6"/>
          <c:order val="6"/>
          <c:tx>
            <c:strRef>
              <c:f>' selon Dptr et formule'!$R$1</c:f>
              <c:strCache>
                <c:ptCount val="1"/>
                <c:pt idx="0">
                  <c:v> -0,51 à -0,75</c:v>
                </c:pt>
              </c:strCache>
            </c:strRef>
          </c:tx>
          <c:invertIfNegative val="0"/>
          <c:cat>
            <c:strRef>
              <c:f>' selon Dptr et formule'!$K$2:$K$11</c:f>
              <c:strCache>
                <c:ptCount val="10"/>
                <c:pt idx="0">
                  <c:v>BARRETT</c:v>
                </c:pt>
                <c:pt idx="1">
                  <c:v>HAIGIS</c:v>
                </c:pt>
                <c:pt idx="2">
                  <c:v>SRK/T</c:v>
                </c:pt>
                <c:pt idx="3">
                  <c:v>zeiss</c:v>
                </c:pt>
                <c:pt idx="4">
                  <c:v>Cooke K6</c:v>
                </c:pt>
                <c:pt idx="5">
                  <c:v>EVO</c:v>
                </c:pt>
                <c:pt idx="6">
                  <c:v>Hill-RBF</c:v>
                </c:pt>
                <c:pt idx="7">
                  <c:v>Hoffer QST</c:v>
                </c:pt>
                <c:pt idx="8">
                  <c:v>Kane</c:v>
                </c:pt>
                <c:pt idx="9">
                  <c:v>Pearl DGS</c:v>
                </c:pt>
              </c:strCache>
            </c:strRef>
          </c:cat>
          <c:val>
            <c:numRef>
              <c:f>' selon Dptr et formule'!$R$2:$R$11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AD-EF47-BA00-386832C3C6D8}"/>
            </c:ext>
          </c:extLst>
        </c:ser>
        <c:ser>
          <c:idx val="7"/>
          <c:order val="7"/>
          <c:tx>
            <c:strRef>
              <c:f>' selon Dptr et formule'!$S$1</c:f>
              <c:strCache>
                <c:ptCount val="1"/>
                <c:pt idx="0">
                  <c:v> -0,76 -1,0</c:v>
                </c:pt>
              </c:strCache>
            </c:strRef>
          </c:tx>
          <c:invertIfNegative val="0"/>
          <c:cat>
            <c:strRef>
              <c:f>' selon Dptr et formule'!$K$2:$K$11</c:f>
              <c:strCache>
                <c:ptCount val="10"/>
                <c:pt idx="0">
                  <c:v>BARRETT</c:v>
                </c:pt>
                <c:pt idx="1">
                  <c:v>HAIGIS</c:v>
                </c:pt>
                <c:pt idx="2">
                  <c:v>SRK/T</c:v>
                </c:pt>
                <c:pt idx="3">
                  <c:v>zeiss</c:v>
                </c:pt>
                <c:pt idx="4">
                  <c:v>Cooke K6</c:v>
                </c:pt>
                <c:pt idx="5">
                  <c:v>EVO</c:v>
                </c:pt>
                <c:pt idx="6">
                  <c:v>Hill-RBF</c:v>
                </c:pt>
                <c:pt idx="7">
                  <c:v>Hoffer QST</c:v>
                </c:pt>
                <c:pt idx="8">
                  <c:v>Kane</c:v>
                </c:pt>
                <c:pt idx="9">
                  <c:v>Pearl DGS</c:v>
                </c:pt>
              </c:strCache>
            </c:strRef>
          </c:cat>
          <c:val>
            <c:numRef>
              <c:f>' selon Dptr et formule'!$S$2:$S$11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DAD-EF47-BA00-386832C3C6D8}"/>
            </c:ext>
          </c:extLst>
        </c:ser>
        <c:ser>
          <c:idx val="8"/>
          <c:order val="8"/>
          <c:tx>
            <c:strRef>
              <c:f>' selon Dptr et formule'!$T$1</c:f>
              <c:strCache>
                <c:ptCount val="1"/>
                <c:pt idx="0">
                  <c:v>&gt; -1,0</c:v>
                </c:pt>
              </c:strCache>
            </c:strRef>
          </c:tx>
          <c:invertIfNegative val="0"/>
          <c:cat>
            <c:strRef>
              <c:f>' selon Dptr et formule'!$K$2:$K$11</c:f>
              <c:strCache>
                <c:ptCount val="10"/>
                <c:pt idx="0">
                  <c:v>BARRETT</c:v>
                </c:pt>
                <c:pt idx="1">
                  <c:v>HAIGIS</c:v>
                </c:pt>
                <c:pt idx="2">
                  <c:v>SRK/T</c:v>
                </c:pt>
                <c:pt idx="3">
                  <c:v>zeiss</c:v>
                </c:pt>
                <c:pt idx="4">
                  <c:v>Cooke K6</c:v>
                </c:pt>
                <c:pt idx="5">
                  <c:v>EVO</c:v>
                </c:pt>
                <c:pt idx="6">
                  <c:v>Hill-RBF</c:v>
                </c:pt>
                <c:pt idx="7">
                  <c:v>Hoffer QST</c:v>
                </c:pt>
                <c:pt idx="8">
                  <c:v>Kane</c:v>
                </c:pt>
                <c:pt idx="9">
                  <c:v>Pearl DGS</c:v>
                </c:pt>
              </c:strCache>
            </c:strRef>
          </c:cat>
          <c:val>
            <c:numRef>
              <c:f>' selon Dptr et formule'!$T$2:$T$11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DAD-EF47-BA00-386832C3C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7151872"/>
        <c:axId val="187153408"/>
        <c:axId val="0"/>
      </c:bar3DChart>
      <c:catAx>
        <c:axId val="1871518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7153408"/>
        <c:crosses val="autoZero"/>
        <c:auto val="1"/>
        <c:lblAlgn val="ctr"/>
        <c:lblOffset val="100"/>
        <c:noMultiLvlLbl val="0"/>
      </c:catAx>
      <c:valAx>
        <c:axId val="18715340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1871518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 typ oeil  formulle'!$C$2</c:f>
              <c:strCache>
                <c:ptCount val="1"/>
                <c:pt idx="0">
                  <c:v>PUISSANCE IOL =&gt;30</c:v>
                </c:pt>
              </c:strCache>
            </c:strRef>
          </c:tx>
          <c:invertIfNegative val="0"/>
          <c:cat>
            <c:strRef>
              <c:f>' typ oeil  formulle'!$B$3:$B$12</c:f>
              <c:strCache>
                <c:ptCount val="10"/>
                <c:pt idx="0">
                  <c:v>BARRETTE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formulle'!$C$3:$C$12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35-8B45-8A05-B5FA920C5E10}"/>
            </c:ext>
          </c:extLst>
        </c:ser>
        <c:ser>
          <c:idx val="1"/>
          <c:order val="1"/>
          <c:tx>
            <c:strRef>
              <c:f>' typ oeil  formulle'!$D$2</c:f>
              <c:strCache>
                <c:ptCount val="1"/>
                <c:pt idx="0">
                  <c:v>PUISSANCE IOL 30 =&gt; 25</c:v>
                </c:pt>
              </c:strCache>
            </c:strRef>
          </c:tx>
          <c:invertIfNegative val="0"/>
          <c:cat>
            <c:strRef>
              <c:f>' typ oeil  formulle'!$B$3:$B$12</c:f>
              <c:strCache>
                <c:ptCount val="10"/>
                <c:pt idx="0">
                  <c:v>BARRETTE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formulle'!$D$3:$D$12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35-8B45-8A05-B5FA920C5E10}"/>
            </c:ext>
          </c:extLst>
        </c:ser>
        <c:ser>
          <c:idx val="2"/>
          <c:order val="2"/>
          <c:tx>
            <c:strRef>
              <c:f>' typ oeil  formulle'!$E$2</c:f>
              <c:strCache>
                <c:ptCount val="1"/>
                <c:pt idx="0">
                  <c:v>PUISSANCE IOL 25 =&gt; 15</c:v>
                </c:pt>
              </c:strCache>
            </c:strRef>
          </c:tx>
          <c:invertIfNegative val="0"/>
          <c:cat>
            <c:strRef>
              <c:f>' typ oeil  formulle'!$B$3:$B$12</c:f>
              <c:strCache>
                <c:ptCount val="10"/>
                <c:pt idx="0">
                  <c:v>BARRETTE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formulle'!$E$3:$E$12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35-8B45-8A05-B5FA920C5E10}"/>
            </c:ext>
          </c:extLst>
        </c:ser>
        <c:ser>
          <c:idx val="3"/>
          <c:order val="3"/>
          <c:tx>
            <c:strRef>
              <c:f>' typ oeil  formulle'!$F$2</c:f>
              <c:strCache>
                <c:ptCount val="1"/>
                <c:pt idx="0">
                  <c:v>PUISSANCE IOL 15 =&gt; 10</c:v>
                </c:pt>
              </c:strCache>
            </c:strRef>
          </c:tx>
          <c:invertIfNegative val="0"/>
          <c:cat>
            <c:strRef>
              <c:f>' typ oeil  formulle'!$B$3:$B$12</c:f>
              <c:strCache>
                <c:ptCount val="10"/>
                <c:pt idx="0">
                  <c:v>BARRETTE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formulle'!$F$3:$F$12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35-8B45-8A05-B5FA920C5E10}"/>
            </c:ext>
          </c:extLst>
        </c:ser>
        <c:ser>
          <c:idx val="4"/>
          <c:order val="4"/>
          <c:tx>
            <c:strRef>
              <c:f>' typ oeil  formulle'!$G$2</c:f>
              <c:strCache>
                <c:ptCount val="1"/>
                <c:pt idx="0">
                  <c:v>PUISSANCE IOL 10 =&gt; 0</c:v>
                </c:pt>
              </c:strCache>
            </c:strRef>
          </c:tx>
          <c:invertIfNegative val="0"/>
          <c:cat>
            <c:strRef>
              <c:f>' typ oeil  formulle'!$B$3:$B$12</c:f>
              <c:strCache>
                <c:ptCount val="10"/>
                <c:pt idx="0">
                  <c:v>BARRETTE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formulle'!$G$3:$G$12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35-8B45-8A05-B5FA920C5E10}"/>
            </c:ext>
          </c:extLst>
        </c:ser>
        <c:ser>
          <c:idx val="5"/>
          <c:order val="5"/>
          <c:tx>
            <c:strRef>
              <c:f>' typ oeil  formulle'!$H$2</c:f>
              <c:strCache>
                <c:ptCount val="1"/>
                <c:pt idx="0">
                  <c:v>PUISSANCE IOL 0=&gt;</c:v>
                </c:pt>
              </c:strCache>
            </c:strRef>
          </c:tx>
          <c:invertIfNegative val="0"/>
          <c:cat>
            <c:strRef>
              <c:f>' typ oeil  formulle'!$B$3:$B$12</c:f>
              <c:strCache>
                <c:ptCount val="10"/>
                <c:pt idx="0">
                  <c:v>BARRETTE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formulle'!$H$3:$H$12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35-8B45-8A05-B5FA920C5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4354176"/>
        <c:axId val="194360064"/>
        <c:axId val="0"/>
      </c:bar3DChart>
      <c:catAx>
        <c:axId val="1943541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4360064"/>
        <c:crosses val="autoZero"/>
        <c:auto val="1"/>
        <c:lblAlgn val="ctr"/>
        <c:lblOffset val="100"/>
        <c:noMultiLvlLbl val="0"/>
      </c:catAx>
      <c:valAx>
        <c:axId val="19436006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1943541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 typ oeil  formulle'!$J$2</c:f>
              <c:strCache>
                <c:ptCount val="1"/>
                <c:pt idx="0">
                  <c:v>œil extrème &gt;28mm</c:v>
                </c:pt>
              </c:strCache>
            </c:strRef>
          </c:tx>
          <c:invertIfNegative val="0"/>
          <c:cat>
            <c:strRef>
              <c:f>' typ oeil  formulle'!$I$3:$I$12</c:f>
              <c:strCache>
                <c:ptCount val="10"/>
                <c:pt idx="0">
                  <c:v>BARRETTE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formulle'!$J$3:$J$12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4E-2E41-B5C5-2D9E2FB1D7C7}"/>
            </c:ext>
          </c:extLst>
        </c:ser>
        <c:ser>
          <c:idx val="1"/>
          <c:order val="1"/>
          <c:tx>
            <c:strRef>
              <c:f>' typ oeil  formulle'!$K$2</c:f>
              <c:strCache>
                <c:ptCount val="1"/>
                <c:pt idx="0">
                  <c:v>Œil très  long 28&gt;26</c:v>
                </c:pt>
              </c:strCache>
            </c:strRef>
          </c:tx>
          <c:invertIfNegative val="0"/>
          <c:cat>
            <c:strRef>
              <c:f>' typ oeil  formulle'!$I$3:$I$12</c:f>
              <c:strCache>
                <c:ptCount val="10"/>
                <c:pt idx="0">
                  <c:v>BARRETTE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formulle'!$K$3:$K$12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4E-2E41-B5C5-2D9E2FB1D7C7}"/>
            </c:ext>
          </c:extLst>
        </c:ser>
        <c:ser>
          <c:idx val="2"/>
          <c:order val="2"/>
          <c:tx>
            <c:strRef>
              <c:f>' typ oeil  formulle'!$L$2</c:f>
              <c:strCache>
                <c:ptCount val="1"/>
                <c:pt idx="0">
                  <c:v>Œil long 26&gt;24,5</c:v>
                </c:pt>
              </c:strCache>
            </c:strRef>
          </c:tx>
          <c:invertIfNegative val="0"/>
          <c:cat>
            <c:strRef>
              <c:f>' typ oeil  formulle'!$I$3:$I$12</c:f>
              <c:strCache>
                <c:ptCount val="10"/>
                <c:pt idx="0">
                  <c:v>BARRETTE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formulle'!$L$3:$L$12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4E-2E41-B5C5-2D9E2FB1D7C7}"/>
            </c:ext>
          </c:extLst>
        </c:ser>
        <c:ser>
          <c:idx val="3"/>
          <c:order val="3"/>
          <c:tx>
            <c:strRef>
              <c:f>' typ oeil  formulle'!$M$2</c:f>
              <c:strCache>
                <c:ptCount val="1"/>
                <c:pt idx="0">
                  <c:v>Œil long NORMAL 24,5&gt;22,5</c:v>
                </c:pt>
              </c:strCache>
            </c:strRef>
          </c:tx>
          <c:invertIfNegative val="0"/>
          <c:cat>
            <c:strRef>
              <c:f>' typ oeil  formulle'!$I$3:$I$12</c:f>
              <c:strCache>
                <c:ptCount val="10"/>
                <c:pt idx="0">
                  <c:v>BARRETTE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formulle'!$M$3:$M$12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4E-2E41-B5C5-2D9E2FB1D7C7}"/>
            </c:ext>
          </c:extLst>
        </c:ser>
        <c:ser>
          <c:idx val="4"/>
          <c:order val="4"/>
          <c:tx>
            <c:strRef>
              <c:f>' typ oeil  formulle'!$N$2</c:f>
              <c:strCache>
                <c:ptCount val="1"/>
                <c:pt idx="0">
                  <c:v>Œil court 22,5&gt;20</c:v>
                </c:pt>
              </c:strCache>
            </c:strRef>
          </c:tx>
          <c:invertIfNegative val="0"/>
          <c:cat>
            <c:strRef>
              <c:f>' typ oeil  formulle'!$I$3:$I$12</c:f>
              <c:strCache>
                <c:ptCount val="10"/>
                <c:pt idx="0">
                  <c:v>BARRETTE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formulle'!$N$3:$N$12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4E-2E41-B5C5-2D9E2FB1D7C7}"/>
            </c:ext>
          </c:extLst>
        </c:ser>
        <c:ser>
          <c:idx val="5"/>
          <c:order val="5"/>
          <c:tx>
            <c:strRef>
              <c:f>' typ oeil  formulle'!$O$2</c:f>
              <c:strCache>
                <c:ptCount val="1"/>
                <c:pt idx="0">
                  <c:v>Œil très court        &lt;20</c:v>
                </c:pt>
              </c:strCache>
            </c:strRef>
          </c:tx>
          <c:invertIfNegative val="0"/>
          <c:cat>
            <c:strRef>
              <c:f>' typ oeil  formulle'!$I$3:$I$12</c:f>
              <c:strCache>
                <c:ptCount val="10"/>
                <c:pt idx="0">
                  <c:v>BARRETTE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formulle'!$O$3:$O$12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4E-2E41-B5C5-2D9E2FB1D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7921536"/>
        <c:axId val="207923072"/>
        <c:axId val="0"/>
      </c:bar3DChart>
      <c:catAx>
        <c:axId val="2079215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7923072"/>
        <c:crosses val="autoZero"/>
        <c:auto val="1"/>
        <c:lblAlgn val="ctr"/>
        <c:lblOffset val="100"/>
        <c:noMultiLvlLbl val="0"/>
      </c:catAx>
      <c:valAx>
        <c:axId val="20792307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079215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 typ oeil  formulle'!$Q$2</c:f>
              <c:strCache>
                <c:ptCount val="1"/>
                <c:pt idx="0">
                  <c:v>K extrème &gt;48,5</c:v>
                </c:pt>
              </c:strCache>
            </c:strRef>
          </c:tx>
          <c:invertIfNegative val="0"/>
          <c:cat>
            <c:strRef>
              <c:f>' typ oeil  formulle'!$P$3:$P$12</c:f>
              <c:strCache>
                <c:ptCount val="10"/>
                <c:pt idx="0">
                  <c:v>BARRETTE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formulle'!$Q$3:$Q$12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7-FF4A-8D16-507EB6947608}"/>
            </c:ext>
          </c:extLst>
        </c:ser>
        <c:ser>
          <c:idx val="1"/>
          <c:order val="1"/>
          <c:tx>
            <c:strRef>
              <c:f>' typ oeil  formulle'!$R$2</c:f>
              <c:strCache>
                <c:ptCount val="1"/>
                <c:pt idx="0">
                  <c:v>K CAMBRE 48,5&gt;46,5</c:v>
                </c:pt>
              </c:strCache>
            </c:strRef>
          </c:tx>
          <c:invertIfNegative val="0"/>
          <c:cat>
            <c:strRef>
              <c:f>' typ oeil  formulle'!$P$3:$P$12</c:f>
              <c:strCache>
                <c:ptCount val="10"/>
                <c:pt idx="0">
                  <c:v>BARRETTE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formulle'!$R$3:$R$12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E7-FF4A-8D16-507EB6947608}"/>
            </c:ext>
          </c:extLst>
        </c:ser>
        <c:ser>
          <c:idx val="2"/>
          <c:order val="2"/>
          <c:tx>
            <c:strRef>
              <c:f>' typ oeil  formulle'!$S$2</c:f>
              <c:strCache>
                <c:ptCount val="1"/>
                <c:pt idx="0">
                  <c:v>K CAMBRE- 46,5&gt;45</c:v>
                </c:pt>
              </c:strCache>
            </c:strRef>
          </c:tx>
          <c:invertIfNegative val="0"/>
          <c:cat>
            <c:strRef>
              <c:f>' typ oeil  formulle'!$P$3:$P$12</c:f>
              <c:strCache>
                <c:ptCount val="10"/>
                <c:pt idx="0">
                  <c:v>BARRETTE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formulle'!$S$3:$S$12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E7-FF4A-8D16-507EB6947608}"/>
            </c:ext>
          </c:extLst>
        </c:ser>
        <c:ser>
          <c:idx val="3"/>
          <c:order val="3"/>
          <c:tx>
            <c:strRef>
              <c:f>' typ oeil  formulle'!$T$2</c:f>
              <c:strCache>
                <c:ptCount val="1"/>
                <c:pt idx="0">
                  <c:v>K NORM 45&gt;43</c:v>
                </c:pt>
              </c:strCache>
            </c:strRef>
          </c:tx>
          <c:invertIfNegative val="0"/>
          <c:cat>
            <c:strRef>
              <c:f>' typ oeil  formulle'!$P$3:$P$12</c:f>
              <c:strCache>
                <c:ptCount val="10"/>
                <c:pt idx="0">
                  <c:v>BARRETTE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formulle'!$T$3:$T$12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E7-FF4A-8D16-507EB6947608}"/>
            </c:ext>
          </c:extLst>
        </c:ser>
        <c:ser>
          <c:idx val="4"/>
          <c:order val="4"/>
          <c:tx>
            <c:strRef>
              <c:f>' typ oeil  formulle'!$U$2</c:f>
              <c:strCache>
                <c:ptCount val="1"/>
                <c:pt idx="0">
                  <c:v>K PLAT-  43&gt;41</c:v>
                </c:pt>
              </c:strCache>
            </c:strRef>
          </c:tx>
          <c:invertIfNegative val="0"/>
          <c:cat>
            <c:strRef>
              <c:f>' typ oeil  formulle'!$P$3:$P$12</c:f>
              <c:strCache>
                <c:ptCount val="10"/>
                <c:pt idx="0">
                  <c:v>BARRETTE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formulle'!$U$3:$U$12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E7-FF4A-8D16-507EB6947608}"/>
            </c:ext>
          </c:extLst>
        </c:ser>
        <c:ser>
          <c:idx val="5"/>
          <c:order val="5"/>
          <c:tx>
            <c:strRef>
              <c:f>' typ oeil  formulle'!$V$2</c:f>
              <c:strCache>
                <c:ptCount val="1"/>
                <c:pt idx="0">
                  <c:v>K PLAT &gt;41,0</c:v>
                </c:pt>
              </c:strCache>
            </c:strRef>
          </c:tx>
          <c:invertIfNegative val="0"/>
          <c:cat>
            <c:strRef>
              <c:f>' typ oeil  formulle'!$P$3:$P$12</c:f>
              <c:strCache>
                <c:ptCount val="10"/>
                <c:pt idx="0">
                  <c:v>BARRETTE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formulle'!$V$3:$V$12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8E7-FF4A-8D16-507EB6947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7971840"/>
        <c:axId val="207973376"/>
        <c:axId val="0"/>
      </c:bar3DChart>
      <c:catAx>
        <c:axId val="207971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7973376"/>
        <c:crosses val="autoZero"/>
        <c:auto val="1"/>
        <c:lblAlgn val="ctr"/>
        <c:lblOffset val="100"/>
        <c:noMultiLvlLbl val="0"/>
      </c:catAx>
      <c:valAx>
        <c:axId val="20797337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07971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 typ oeil  formulle'!$X$2</c:f>
              <c:strCache>
                <c:ptCount val="1"/>
                <c:pt idx="0">
                  <c:v>CA extrème &gt;4,0</c:v>
                </c:pt>
              </c:strCache>
            </c:strRef>
          </c:tx>
          <c:invertIfNegative val="0"/>
          <c:cat>
            <c:strRef>
              <c:f>' typ oeil  formulle'!$W$3:$W$12</c:f>
              <c:strCache>
                <c:ptCount val="10"/>
                <c:pt idx="0">
                  <c:v>BARRETTE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formulle'!$X$3:$X$12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A-2E42-BB22-95DA94602DE4}"/>
            </c:ext>
          </c:extLst>
        </c:ser>
        <c:ser>
          <c:idx val="1"/>
          <c:order val="1"/>
          <c:tx>
            <c:strRef>
              <c:f>' typ oeil  formulle'!$Y$2</c:f>
              <c:strCache>
                <c:ptCount val="1"/>
                <c:pt idx="0">
                  <c:v>CA profonde 4&gt;3,5</c:v>
                </c:pt>
              </c:strCache>
            </c:strRef>
          </c:tx>
          <c:invertIfNegative val="0"/>
          <c:cat>
            <c:strRef>
              <c:f>' typ oeil  formulle'!$W$3:$W$12</c:f>
              <c:strCache>
                <c:ptCount val="10"/>
                <c:pt idx="0">
                  <c:v>BARRETTE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formulle'!$Y$3:$Y$12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6A-2E42-BB22-95DA94602DE4}"/>
            </c:ext>
          </c:extLst>
        </c:ser>
        <c:ser>
          <c:idx val="2"/>
          <c:order val="2"/>
          <c:tx>
            <c:strRef>
              <c:f>' typ oeil  formulle'!$Z$2</c:f>
              <c:strCache>
                <c:ptCount val="1"/>
                <c:pt idx="0">
                  <c:v>CA NORM 3,5&gt;2,5</c:v>
                </c:pt>
              </c:strCache>
            </c:strRef>
          </c:tx>
          <c:invertIfNegative val="0"/>
          <c:cat>
            <c:strRef>
              <c:f>' typ oeil  formulle'!$W$3:$W$12</c:f>
              <c:strCache>
                <c:ptCount val="10"/>
                <c:pt idx="0">
                  <c:v>BARRETTE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formulle'!$Z$3:$Z$12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6A-2E42-BB22-95DA94602DE4}"/>
            </c:ext>
          </c:extLst>
        </c:ser>
        <c:ser>
          <c:idx val="3"/>
          <c:order val="3"/>
          <c:tx>
            <c:strRef>
              <c:f>' typ oeil  formulle'!$AA$2</c:f>
              <c:strCache>
                <c:ptCount val="1"/>
                <c:pt idx="0">
                  <c:v>CA ETROITE 2,5&gt;2,0</c:v>
                </c:pt>
              </c:strCache>
            </c:strRef>
          </c:tx>
          <c:invertIfNegative val="0"/>
          <c:cat>
            <c:strRef>
              <c:f>' typ oeil  formulle'!$W$3:$W$12</c:f>
              <c:strCache>
                <c:ptCount val="10"/>
                <c:pt idx="0">
                  <c:v>BARRETTE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formulle'!$AA$3:$AA$12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6A-2E42-BB22-95DA94602DE4}"/>
            </c:ext>
          </c:extLst>
        </c:ser>
        <c:ser>
          <c:idx val="4"/>
          <c:order val="4"/>
          <c:tx>
            <c:strRef>
              <c:f>' typ oeil  formulle'!$AB$2</c:f>
              <c:strCache>
                <c:ptCount val="1"/>
                <c:pt idx="0">
                  <c:v>CA tres etroite  &lt;2,0</c:v>
                </c:pt>
              </c:strCache>
            </c:strRef>
          </c:tx>
          <c:invertIfNegative val="0"/>
          <c:cat>
            <c:strRef>
              <c:f>' typ oeil  formulle'!$W$3:$W$12</c:f>
              <c:strCache>
                <c:ptCount val="10"/>
                <c:pt idx="0">
                  <c:v>BARRETTE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formulle'!$AB$3:$AB$12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6A-2E42-BB22-95DA94602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004608"/>
        <c:axId val="208006144"/>
      </c:barChart>
      <c:catAx>
        <c:axId val="2080046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8006144"/>
        <c:crosses val="autoZero"/>
        <c:auto val="1"/>
        <c:lblAlgn val="ctr"/>
        <c:lblOffset val="100"/>
        <c:noMultiLvlLbl val="0"/>
      </c:catAx>
      <c:valAx>
        <c:axId val="20800614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080046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 typ oeil  formulle'!$AE$2</c:f>
              <c:strCache>
                <c:ptCount val="1"/>
                <c:pt idx="0">
                  <c:v>LT TRES EPAIS &gt;5,3</c:v>
                </c:pt>
              </c:strCache>
            </c:strRef>
          </c:tx>
          <c:invertIfNegative val="0"/>
          <c:cat>
            <c:strRef>
              <c:f>' typ oeil  formulle'!$AD$3:$AD$12</c:f>
              <c:strCache>
                <c:ptCount val="10"/>
                <c:pt idx="0">
                  <c:v>BARRETTE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formulle'!$AE$3:$AE$12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EC-4D42-9F47-5D5F46794889}"/>
            </c:ext>
          </c:extLst>
        </c:ser>
        <c:ser>
          <c:idx val="1"/>
          <c:order val="1"/>
          <c:tx>
            <c:strRef>
              <c:f>' typ oeil  formulle'!$AF$2</c:f>
              <c:strCache>
                <c:ptCount val="1"/>
                <c:pt idx="0">
                  <c:v>LT EPAIS 5,3&gt;4,9</c:v>
                </c:pt>
              </c:strCache>
            </c:strRef>
          </c:tx>
          <c:invertIfNegative val="0"/>
          <c:cat>
            <c:strRef>
              <c:f>' typ oeil  formulle'!$AD$3:$AD$12</c:f>
              <c:strCache>
                <c:ptCount val="10"/>
                <c:pt idx="0">
                  <c:v>BARRETTE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formulle'!$AF$3:$AF$12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EC-4D42-9F47-5D5F46794889}"/>
            </c:ext>
          </c:extLst>
        </c:ser>
        <c:ser>
          <c:idx val="2"/>
          <c:order val="2"/>
          <c:tx>
            <c:strRef>
              <c:f>' typ oeil  formulle'!$AG$2</c:f>
              <c:strCache>
                <c:ptCount val="1"/>
                <c:pt idx="0">
                  <c:v>LT NORMAL 4,9&gt;3,8</c:v>
                </c:pt>
              </c:strCache>
            </c:strRef>
          </c:tx>
          <c:invertIfNegative val="0"/>
          <c:cat>
            <c:strRef>
              <c:f>' typ oeil  formulle'!$AD$3:$AD$12</c:f>
              <c:strCache>
                <c:ptCount val="10"/>
                <c:pt idx="0">
                  <c:v>BARRETTE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formulle'!$AG$3:$AG$12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EC-4D42-9F47-5D5F46794889}"/>
            </c:ext>
          </c:extLst>
        </c:ser>
        <c:ser>
          <c:idx val="3"/>
          <c:order val="3"/>
          <c:tx>
            <c:strRef>
              <c:f>' typ oeil  formulle'!$AH$2</c:f>
              <c:strCache>
                <c:ptCount val="1"/>
                <c:pt idx="0">
                  <c:v>LT FIN&gt;3,8</c:v>
                </c:pt>
              </c:strCache>
            </c:strRef>
          </c:tx>
          <c:invertIfNegative val="0"/>
          <c:cat>
            <c:strRef>
              <c:f>' typ oeil  formulle'!$AD$3:$AD$12</c:f>
              <c:strCache>
                <c:ptCount val="10"/>
                <c:pt idx="0">
                  <c:v>BARRETTE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formulle'!$AH$3:$AH$12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EC-4D42-9F47-5D5F46794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8053376"/>
        <c:axId val="208054912"/>
        <c:axId val="0"/>
      </c:bar3DChart>
      <c:catAx>
        <c:axId val="2080533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8054912"/>
        <c:crosses val="autoZero"/>
        <c:auto val="1"/>
        <c:lblAlgn val="ctr"/>
        <c:lblOffset val="100"/>
        <c:noMultiLvlLbl val="0"/>
      </c:catAx>
      <c:valAx>
        <c:axId val="20805491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080533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 typ oeil  formulle'!$AL$2</c:f>
              <c:strCache>
                <c:ptCount val="1"/>
                <c:pt idx="0">
                  <c:v>WTW EXTREME &gt;13</c:v>
                </c:pt>
              </c:strCache>
            </c:strRef>
          </c:tx>
          <c:invertIfNegative val="0"/>
          <c:cat>
            <c:strRef>
              <c:f>' typ oeil  formulle'!$AK$3:$AK$12</c:f>
              <c:strCache>
                <c:ptCount val="10"/>
                <c:pt idx="0">
                  <c:v>BARRETTE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formulle'!$AL$3:$AL$12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60-AB4A-899B-281FE4FC08A4}"/>
            </c:ext>
          </c:extLst>
        </c:ser>
        <c:ser>
          <c:idx val="1"/>
          <c:order val="1"/>
          <c:tx>
            <c:strRef>
              <c:f>' typ oeil  formulle'!$AM$2</c:f>
              <c:strCache>
                <c:ptCount val="1"/>
                <c:pt idx="0">
                  <c:v>WTW GRAND 13&gt;12,5</c:v>
                </c:pt>
              </c:strCache>
            </c:strRef>
          </c:tx>
          <c:invertIfNegative val="0"/>
          <c:cat>
            <c:strRef>
              <c:f>' typ oeil  formulle'!$AK$3:$AK$12</c:f>
              <c:strCache>
                <c:ptCount val="10"/>
                <c:pt idx="0">
                  <c:v>BARRETTE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formulle'!$AM$3:$AM$12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60-AB4A-899B-281FE4FC08A4}"/>
            </c:ext>
          </c:extLst>
        </c:ser>
        <c:ser>
          <c:idx val="2"/>
          <c:order val="2"/>
          <c:tx>
            <c:strRef>
              <c:f>' typ oeil  formulle'!$AN$2</c:f>
              <c:strCache>
                <c:ptCount val="1"/>
                <c:pt idx="0">
                  <c:v>WTW NORM 12,5&gt;11,5</c:v>
                </c:pt>
              </c:strCache>
            </c:strRef>
          </c:tx>
          <c:invertIfNegative val="0"/>
          <c:cat>
            <c:strRef>
              <c:f>' typ oeil  formulle'!$AK$3:$AK$12</c:f>
              <c:strCache>
                <c:ptCount val="10"/>
                <c:pt idx="0">
                  <c:v>BARRETTE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formulle'!$AN$3:$AN$12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60-AB4A-899B-281FE4FC08A4}"/>
            </c:ext>
          </c:extLst>
        </c:ser>
        <c:ser>
          <c:idx val="3"/>
          <c:order val="3"/>
          <c:tx>
            <c:strRef>
              <c:f>' typ oeil  formulle'!$AO$2</c:f>
              <c:strCache>
                <c:ptCount val="1"/>
                <c:pt idx="0">
                  <c:v>WTW PETITE &lt;11,5</c:v>
                </c:pt>
              </c:strCache>
            </c:strRef>
          </c:tx>
          <c:invertIfNegative val="0"/>
          <c:cat>
            <c:strRef>
              <c:f>' typ oeil  formulle'!$AK$3:$AK$12</c:f>
              <c:strCache>
                <c:ptCount val="10"/>
                <c:pt idx="0">
                  <c:v>BARRETTE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formulle'!$AO$3:$AO$12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60-AB4A-899B-281FE4FC0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2293504"/>
        <c:axId val="232295040"/>
        <c:axId val="0"/>
      </c:bar3DChart>
      <c:catAx>
        <c:axId val="2322935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32295040"/>
        <c:crosses val="autoZero"/>
        <c:auto val="1"/>
        <c:lblAlgn val="ctr"/>
        <c:lblOffset val="100"/>
        <c:noMultiLvlLbl val="0"/>
      </c:catAx>
      <c:valAx>
        <c:axId val="23229504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322935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 typ oeil  formulle'!$AS$2</c:f>
              <c:strCache>
                <c:ptCount val="1"/>
                <c:pt idx="0">
                  <c:v>AGE             +90</c:v>
                </c:pt>
              </c:strCache>
            </c:strRef>
          </c:tx>
          <c:invertIfNegative val="0"/>
          <c:cat>
            <c:strRef>
              <c:f>' typ oeil  formulle'!$AR$3:$AR$12</c:f>
              <c:strCache>
                <c:ptCount val="10"/>
                <c:pt idx="0">
                  <c:v>BARRETTE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formulle'!$AS$3:$AS$12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D4-C240-99C6-C19CA1C024D7}"/>
            </c:ext>
          </c:extLst>
        </c:ser>
        <c:ser>
          <c:idx val="1"/>
          <c:order val="1"/>
          <c:tx>
            <c:strRef>
              <c:f>' typ oeil  formulle'!$AT$2</c:f>
              <c:strCache>
                <c:ptCount val="1"/>
                <c:pt idx="0">
                  <c:v>AGE          89 =&gt; 80</c:v>
                </c:pt>
              </c:strCache>
            </c:strRef>
          </c:tx>
          <c:invertIfNegative val="0"/>
          <c:cat>
            <c:strRef>
              <c:f>' typ oeil  formulle'!$AR$3:$AR$12</c:f>
              <c:strCache>
                <c:ptCount val="10"/>
                <c:pt idx="0">
                  <c:v>BARRETTE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formulle'!$AT$3:$AT$12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D4-C240-99C6-C19CA1C024D7}"/>
            </c:ext>
          </c:extLst>
        </c:ser>
        <c:ser>
          <c:idx val="2"/>
          <c:order val="2"/>
          <c:tx>
            <c:strRef>
              <c:f>' typ oeil  formulle'!$AU$2</c:f>
              <c:strCache>
                <c:ptCount val="1"/>
                <c:pt idx="0">
                  <c:v>AGE          80 =&gt; 70</c:v>
                </c:pt>
              </c:strCache>
            </c:strRef>
          </c:tx>
          <c:invertIfNegative val="0"/>
          <c:cat>
            <c:strRef>
              <c:f>' typ oeil  formulle'!$AR$3:$AR$12</c:f>
              <c:strCache>
                <c:ptCount val="10"/>
                <c:pt idx="0">
                  <c:v>BARRETTE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formulle'!$AU$3:$AU$12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D4-C240-99C6-C19CA1C024D7}"/>
            </c:ext>
          </c:extLst>
        </c:ser>
        <c:ser>
          <c:idx val="3"/>
          <c:order val="3"/>
          <c:tx>
            <c:strRef>
              <c:f>' typ oeil  formulle'!$AV$2</c:f>
              <c:strCache>
                <c:ptCount val="1"/>
                <c:pt idx="0">
                  <c:v>AGE         69 =&gt; 60</c:v>
                </c:pt>
              </c:strCache>
            </c:strRef>
          </c:tx>
          <c:invertIfNegative val="0"/>
          <c:cat>
            <c:strRef>
              <c:f>' typ oeil  formulle'!$AR$3:$AR$12</c:f>
              <c:strCache>
                <c:ptCount val="10"/>
                <c:pt idx="0">
                  <c:v>BARRETTE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formulle'!$AV$3:$AV$12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D4-C240-99C6-C19CA1C024D7}"/>
            </c:ext>
          </c:extLst>
        </c:ser>
        <c:ser>
          <c:idx val="4"/>
          <c:order val="4"/>
          <c:tx>
            <c:strRef>
              <c:f>' typ oeil  formulle'!$AW$2</c:f>
              <c:strCache>
                <c:ptCount val="1"/>
                <c:pt idx="0">
                  <c:v>AGE          59 =&gt; 50</c:v>
                </c:pt>
              </c:strCache>
            </c:strRef>
          </c:tx>
          <c:invertIfNegative val="0"/>
          <c:cat>
            <c:strRef>
              <c:f>' typ oeil  formulle'!$AR$3:$AR$12</c:f>
              <c:strCache>
                <c:ptCount val="10"/>
                <c:pt idx="0">
                  <c:v>BARRETTE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formulle'!$AW$3:$AW$12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D4-C240-99C6-C19CA1C024D7}"/>
            </c:ext>
          </c:extLst>
        </c:ser>
        <c:ser>
          <c:idx val="5"/>
          <c:order val="5"/>
          <c:tx>
            <c:strRef>
              <c:f>' typ oeil  formulle'!$AX$2</c:f>
              <c:strCache>
                <c:ptCount val="1"/>
                <c:pt idx="0">
                  <c:v>AGE          49 =&gt; 40</c:v>
                </c:pt>
              </c:strCache>
            </c:strRef>
          </c:tx>
          <c:invertIfNegative val="0"/>
          <c:cat>
            <c:strRef>
              <c:f>' typ oeil  formulle'!$AR$3:$AR$12</c:f>
              <c:strCache>
                <c:ptCount val="10"/>
                <c:pt idx="0">
                  <c:v>BARRETTE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formulle'!$AX$3:$AX$12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D4-C240-99C6-C19CA1C024D7}"/>
            </c:ext>
          </c:extLst>
        </c:ser>
        <c:ser>
          <c:idx val="6"/>
          <c:order val="6"/>
          <c:tx>
            <c:strRef>
              <c:f>' typ oeil  formulle'!$AY$2</c:f>
              <c:strCache>
                <c:ptCount val="1"/>
                <c:pt idx="0">
                  <c:v>AGE                -39</c:v>
                </c:pt>
              </c:strCache>
            </c:strRef>
          </c:tx>
          <c:invertIfNegative val="0"/>
          <c:cat>
            <c:strRef>
              <c:f>' typ oeil  formulle'!$AR$3:$AR$12</c:f>
              <c:strCache>
                <c:ptCount val="10"/>
                <c:pt idx="0">
                  <c:v>BARRETTE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formulle'!$AY$3:$AY$12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D4-C240-99C6-C19CA1C02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8092160"/>
        <c:axId val="208102144"/>
        <c:axId val="0"/>
      </c:bar3DChart>
      <c:catAx>
        <c:axId val="2080921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8102144"/>
        <c:crosses val="autoZero"/>
        <c:auto val="1"/>
        <c:lblAlgn val="ctr"/>
        <c:lblOffset val="100"/>
        <c:noMultiLvlLbl val="0"/>
      </c:catAx>
      <c:valAx>
        <c:axId val="20810214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08092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 typ oeil  formulle'!$C$30</c:f>
              <c:strCache>
                <c:ptCount val="1"/>
                <c:pt idx="0">
                  <c:v>PUISSANCE IOL =&gt;30</c:v>
                </c:pt>
              </c:strCache>
            </c:strRef>
          </c:tx>
          <c:invertIfNegative val="0"/>
          <c:cat>
            <c:strRef>
              <c:f>' typ oeil  formulle'!$B$31:$B$40</c:f>
              <c:strCache>
                <c:ptCount val="10"/>
                <c:pt idx="0">
                  <c:v>HAIGIS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formulle'!$C$31:$C$40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A6-AF46-BE93-845C2AF8A179}"/>
            </c:ext>
          </c:extLst>
        </c:ser>
        <c:ser>
          <c:idx val="1"/>
          <c:order val="1"/>
          <c:tx>
            <c:strRef>
              <c:f>' typ oeil  formulle'!$D$30</c:f>
              <c:strCache>
                <c:ptCount val="1"/>
                <c:pt idx="0">
                  <c:v>PUISSANCE IOL 30 =&gt; 25</c:v>
                </c:pt>
              </c:strCache>
            </c:strRef>
          </c:tx>
          <c:invertIfNegative val="0"/>
          <c:cat>
            <c:strRef>
              <c:f>' typ oeil  formulle'!$B$31:$B$40</c:f>
              <c:strCache>
                <c:ptCount val="10"/>
                <c:pt idx="0">
                  <c:v>HAIGIS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formulle'!$D$31:$D$40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A6-AF46-BE93-845C2AF8A179}"/>
            </c:ext>
          </c:extLst>
        </c:ser>
        <c:ser>
          <c:idx val="2"/>
          <c:order val="2"/>
          <c:tx>
            <c:strRef>
              <c:f>' typ oeil  formulle'!$E$30</c:f>
              <c:strCache>
                <c:ptCount val="1"/>
                <c:pt idx="0">
                  <c:v>PUISSANCE IOL 25 =&gt; 15</c:v>
                </c:pt>
              </c:strCache>
            </c:strRef>
          </c:tx>
          <c:invertIfNegative val="0"/>
          <c:cat>
            <c:strRef>
              <c:f>' typ oeil  formulle'!$B$31:$B$40</c:f>
              <c:strCache>
                <c:ptCount val="10"/>
                <c:pt idx="0">
                  <c:v>HAIGIS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formulle'!$E$31:$E$40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A6-AF46-BE93-845C2AF8A179}"/>
            </c:ext>
          </c:extLst>
        </c:ser>
        <c:ser>
          <c:idx val="3"/>
          <c:order val="3"/>
          <c:tx>
            <c:strRef>
              <c:f>' typ oeil  formulle'!$F$30</c:f>
              <c:strCache>
                <c:ptCount val="1"/>
                <c:pt idx="0">
                  <c:v>PUISSANCE IOL 15 =&gt; 10</c:v>
                </c:pt>
              </c:strCache>
            </c:strRef>
          </c:tx>
          <c:invertIfNegative val="0"/>
          <c:cat>
            <c:strRef>
              <c:f>' typ oeil  formulle'!$B$31:$B$40</c:f>
              <c:strCache>
                <c:ptCount val="10"/>
                <c:pt idx="0">
                  <c:v>HAIGIS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formulle'!$F$31:$F$40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A6-AF46-BE93-845C2AF8A179}"/>
            </c:ext>
          </c:extLst>
        </c:ser>
        <c:ser>
          <c:idx val="4"/>
          <c:order val="4"/>
          <c:tx>
            <c:strRef>
              <c:f>' typ oeil  formulle'!$G$30</c:f>
              <c:strCache>
                <c:ptCount val="1"/>
                <c:pt idx="0">
                  <c:v>PUISSANCE IOL 10 =&gt; 0</c:v>
                </c:pt>
              </c:strCache>
            </c:strRef>
          </c:tx>
          <c:invertIfNegative val="0"/>
          <c:cat>
            <c:strRef>
              <c:f>' typ oeil  formulle'!$B$31:$B$40</c:f>
              <c:strCache>
                <c:ptCount val="10"/>
                <c:pt idx="0">
                  <c:v>HAIGIS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formulle'!$G$31:$G$40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A6-AF46-BE93-845C2AF8A179}"/>
            </c:ext>
          </c:extLst>
        </c:ser>
        <c:ser>
          <c:idx val="5"/>
          <c:order val="5"/>
          <c:tx>
            <c:strRef>
              <c:f>' typ oeil  formulle'!$H$30</c:f>
              <c:strCache>
                <c:ptCount val="1"/>
                <c:pt idx="0">
                  <c:v>PUISSANCE IOL 0=&gt;</c:v>
                </c:pt>
              </c:strCache>
            </c:strRef>
          </c:tx>
          <c:invertIfNegative val="0"/>
          <c:cat>
            <c:strRef>
              <c:f>' typ oeil  formulle'!$B$31:$B$40</c:f>
              <c:strCache>
                <c:ptCount val="10"/>
                <c:pt idx="0">
                  <c:v>HAIGIS</c:v>
                </c:pt>
                <c:pt idx="1">
                  <c:v>&gt;+1,0</c:v>
                </c:pt>
                <c:pt idx="2">
                  <c:v> +1,0 à +0,76</c:v>
                </c:pt>
                <c:pt idx="3">
                  <c:v> +0,75 à +0,51</c:v>
                </c:pt>
                <c:pt idx="4">
                  <c:v> +0,50 à +0,26</c:v>
                </c:pt>
                <c:pt idx="5">
                  <c:v> +0,25 à -0,25</c:v>
                </c:pt>
                <c:pt idx="6">
                  <c:v> -0,26 à -0,50</c:v>
                </c:pt>
                <c:pt idx="7">
                  <c:v> -0,51 à -0,75</c:v>
                </c:pt>
                <c:pt idx="8">
                  <c:v> -0,76 -1,0</c:v>
                </c:pt>
                <c:pt idx="9">
                  <c:v>&gt; -1,0</c:v>
                </c:pt>
              </c:strCache>
            </c:strRef>
          </c:cat>
          <c:val>
            <c:numRef>
              <c:f>' typ oeil  formulle'!$H$31:$H$40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6A6-AF46-BE93-845C2AF8A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5868160"/>
        <c:axId val="235869696"/>
        <c:axId val="0"/>
      </c:bar3DChart>
      <c:catAx>
        <c:axId val="2358681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35869696"/>
        <c:crosses val="autoZero"/>
        <c:auto val="1"/>
        <c:lblAlgn val="ctr"/>
        <c:lblOffset val="100"/>
        <c:noMultiLvlLbl val="0"/>
      </c:catAx>
      <c:valAx>
        <c:axId val="23586969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35868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 typ oeil  formulle'!$J$30</c:f>
              <c:strCache>
                <c:ptCount val="1"/>
                <c:pt idx="0">
                  <c:v>œil extrème &gt;28mm</c:v>
                </c:pt>
              </c:strCache>
            </c:strRef>
          </c:tx>
          <c:invertIfNegative val="0"/>
          <c:cat>
            <c:strRef>
              <c:f>' typ oeil  formulle'!$I$32:$I$40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formulle'!$J$32:$J$40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A1-9F43-B429-F7190C242392}"/>
            </c:ext>
          </c:extLst>
        </c:ser>
        <c:ser>
          <c:idx val="1"/>
          <c:order val="1"/>
          <c:tx>
            <c:strRef>
              <c:f>' typ oeil  formulle'!$K$30</c:f>
              <c:strCache>
                <c:ptCount val="1"/>
                <c:pt idx="0">
                  <c:v>Œil très  long 28&gt;26</c:v>
                </c:pt>
              </c:strCache>
            </c:strRef>
          </c:tx>
          <c:invertIfNegative val="0"/>
          <c:cat>
            <c:strRef>
              <c:f>' typ oeil  formulle'!$I$32:$I$40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formulle'!$K$32:$K$40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A1-9F43-B429-F7190C242392}"/>
            </c:ext>
          </c:extLst>
        </c:ser>
        <c:ser>
          <c:idx val="2"/>
          <c:order val="2"/>
          <c:tx>
            <c:strRef>
              <c:f>' typ oeil  formulle'!$L$30</c:f>
              <c:strCache>
                <c:ptCount val="1"/>
                <c:pt idx="0">
                  <c:v>Œil long 26&gt;24,5</c:v>
                </c:pt>
              </c:strCache>
            </c:strRef>
          </c:tx>
          <c:invertIfNegative val="0"/>
          <c:cat>
            <c:strRef>
              <c:f>' typ oeil  formulle'!$I$32:$I$40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formulle'!$L$32:$L$40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A1-9F43-B429-F7190C242392}"/>
            </c:ext>
          </c:extLst>
        </c:ser>
        <c:ser>
          <c:idx val="3"/>
          <c:order val="3"/>
          <c:tx>
            <c:strRef>
              <c:f>' typ oeil  formulle'!$M$30</c:f>
              <c:strCache>
                <c:ptCount val="1"/>
                <c:pt idx="0">
                  <c:v>Œil long NORMAL 24,5&gt;22,5</c:v>
                </c:pt>
              </c:strCache>
            </c:strRef>
          </c:tx>
          <c:invertIfNegative val="0"/>
          <c:cat>
            <c:strRef>
              <c:f>' typ oeil  formulle'!$I$32:$I$40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formulle'!$M$32:$M$40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A1-9F43-B429-F7190C242392}"/>
            </c:ext>
          </c:extLst>
        </c:ser>
        <c:ser>
          <c:idx val="4"/>
          <c:order val="4"/>
          <c:tx>
            <c:strRef>
              <c:f>' typ oeil  formulle'!$N$30</c:f>
              <c:strCache>
                <c:ptCount val="1"/>
                <c:pt idx="0">
                  <c:v>Œil court 22,5&gt;20</c:v>
                </c:pt>
              </c:strCache>
            </c:strRef>
          </c:tx>
          <c:invertIfNegative val="0"/>
          <c:cat>
            <c:strRef>
              <c:f>' typ oeil  formulle'!$I$32:$I$40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formulle'!$N$32:$N$40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A1-9F43-B429-F7190C242392}"/>
            </c:ext>
          </c:extLst>
        </c:ser>
        <c:ser>
          <c:idx val="5"/>
          <c:order val="5"/>
          <c:tx>
            <c:strRef>
              <c:f>' typ oeil  formulle'!$O$30</c:f>
              <c:strCache>
                <c:ptCount val="1"/>
                <c:pt idx="0">
                  <c:v>Œil très court        &lt;20</c:v>
                </c:pt>
              </c:strCache>
            </c:strRef>
          </c:tx>
          <c:invertIfNegative val="0"/>
          <c:cat>
            <c:strRef>
              <c:f>' typ oeil  formulle'!$I$32:$I$40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formulle'!$O$32:$O$40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A1-9F43-B429-F7190C242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5902080"/>
        <c:axId val="235903616"/>
        <c:axId val="0"/>
      </c:bar3DChart>
      <c:catAx>
        <c:axId val="2359020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35903616"/>
        <c:crosses val="autoZero"/>
        <c:auto val="1"/>
        <c:lblAlgn val="ctr"/>
        <c:lblOffset val="100"/>
        <c:noMultiLvlLbl val="0"/>
      </c:catAx>
      <c:valAx>
        <c:axId val="23590361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359020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 typ oeil  formulle'!$Q$30</c:f>
              <c:strCache>
                <c:ptCount val="1"/>
                <c:pt idx="0">
                  <c:v>K extrème &gt;48,5</c:v>
                </c:pt>
              </c:strCache>
            </c:strRef>
          </c:tx>
          <c:invertIfNegative val="0"/>
          <c:cat>
            <c:strRef>
              <c:f>' typ oeil  formulle'!$P$32:$P$40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formulle'!$Q$32:$Q$40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C-9040-A30F-8B0124EFCE8A}"/>
            </c:ext>
          </c:extLst>
        </c:ser>
        <c:ser>
          <c:idx val="1"/>
          <c:order val="1"/>
          <c:tx>
            <c:strRef>
              <c:f>' typ oeil  formulle'!$R$30</c:f>
              <c:strCache>
                <c:ptCount val="1"/>
                <c:pt idx="0">
                  <c:v>K CAMBRE 48,5&gt;46,5</c:v>
                </c:pt>
              </c:strCache>
            </c:strRef>
          </c:tx>
          <c:invertIfNegative val="0"/>
          <c:cat>
            <c:strRef>
              <c:f>' typ oeil  formulle'!$P$32:$P$40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formulle'!$R$32:$R$40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5C-9040-A30F-8B0124EFCE8A}"/>
            </c:ext>
          </c:extLst>
        </c:ser>
        <c:ser>
          <c:idx val="2"/>
          <c:order val="2"/>
          <c:tx>
            <c:strRef>
              <c:f>' typ oeil  formulle'!$S$30</c:f>
              <c:strCache>
                <c:ptCount val="1"/>
                <c:pt idx="0">
                  <c:v>K CAMBRE- 46,5&gt;45</c:v>
                </c:pt>
              </c:strCache>
            </c:strRef>
          </c:tx>
          <c:invertIfNegative val="0"/>
          <c:cat>
            <c:strRef>
              <c:f>' typ oeil  formulle'!$P$32:$P$40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formulle'!$S$32:$S$40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5C-9040-A30F-8B0124EFCE8A}"/>
            </c:ext>
          </c:extLst>
        </c:ser>
        <c:ser>
          <c:idx val="3"/>
          <c:order val="3"/>
          <c:tx>
            <c:strRef>
              <c:f>' typ oeil  formulle'!$T$30</c:f>
              <c:strCache>
                <c:ptCount val="1"/>
                <c:pt idx="0">
                  <c:v>K NORM 45&gt;43</c:v>
                </c:pt>
              </c:strCache>
            </c:strRef>
          </c:tx>
          <c:invertIfNegative val="0"/>
          <c:cat>
            <c:strRef>
              <c:f>' typ oeil  formulle'!$P$32:$P$40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formulle'!$T$32:$T$40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5C-9040-A30F-8B0124EFCE8A}"/>
            </c:ext>
          </c:extLst>
        </c:ser>
        <c:ser>
          <c:idx val="4"/>
          <c:order val="4"/>
          <c:tx>
            <c:strRef>
              <c:f>' typ oeil  formulle'!$U$30</c:f>
              <c:strCache>
                <c:ptCount val="1"/>
                <c:pt idx="0">
                  <c:v>K PLAT-  43&gt;41</c:v>
                </c:pt>
              </c:strCache>
            </c:strRef>
          </c:tx>
          <c:invertIfNegative val="0"/>
          <c:cat>
            <c:strRef>
              <c:f>' typ oeil  formulle'!$P$32:$P$40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formulle'!$U$32:$U$40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5C-9040-A30F-8B0124EFCE8A}"/>
            </c:ext>
          </c:extLst>
        </c:ser>
        <c:ser>
          <c:idx val="5"/>
          <c:order val="5"/>
          <c:tx>
            <c:strRef>
              <c:f>' typ oeil  formulle'!$V$30</c:f>
              <c:strCache>
                <c:ptCount val="1"/>
                <c:pt idx="0">
                  <c:v>K PLAT &gt;41,0</c:v>
                </c:pt>
              </c:strCache>
            </c:strRef>
          </c:tx>
          <c:invertIfNegative val="0"/>
          <c:cat>
            <c:strRef>
              <c:f>' typ oeil  formulle'!$P$32:$P$40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formulle'!$V$32:$V$40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75C-9040-A30F-8B0124EFC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5970560"/>
        <c:axId val="235972096"/>
        <c:axId val="0"/>
      </c:bar3DChart>
      <c:catAx>
        <c:axId val="2359705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fr-FR"/>
          </a:p>
        </c:txPr>
        <c:crossAx val="235972096"/>
        <c:crosses val="autoZero"/>
        <c:auto val="1"/>
        <c:lblAlgn val="ctr"/>
        <c:lblOffset val="100"/>
        <c:noMultiLvlLbl val="0"/>
      </c:catAx>
      <c:valAx>
        <c:axId val="23597209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359705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 typ oeil  formulle'!$X$30</c:f>
              <c:strCache>
                <c:ptCount val="1"/>
                <c:pt idx="0">
                  <c:v>CA extrème &gt;4,0</c:v>
                </c:pt>
              </c:strCache>
            </c:strRef>
          </c:tx>
          <c:invertIfNegative val="0"/>
          <c:cat>
            <c:strRef>
              <c:f>' typ oeil  formulle'!$W$32:$W$40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formulle'!$X$32:$X$40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E3-6342-8383-213C8CB2C5EC}"/>
            </c:ext>
          </c:extLst>
        </c:ser>
        <c:ser>
          <c:idx val="1"/>
          <c:order val="1"/>
          <c:tx>
            <c:strRef>
              <c:f>' typ oeil  formulle'!$Y$30</c:f>
              <c:strCache>
                <c:ptCount val="1"/>
                <c:pt idx="0">
                  <c:v>CA profonde 4&gt;3,5</c:v>
                </c:pt>
              </c:strCache>
            </c:strRef>
          </c:tx>
          <c:invertIfNegative val="0"/>
          <c:cat>
            <c:strRef>
              <c:f>' typ oeil  formulle'!$W$32:$W$40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formulle'!$Y$32:$Y$40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E3-6342-8383-213C8CB2C5EC}"/>
            </c:ext>
          </c:extLst>
        </c:ser>
        <c:ser>
          <c:idx val="2"/>
          <c:order val="2"/>
          <c:tx>
            <c:strRef>
              <c:f>' typ oeil  formulle'!$Z$30</c:f>
              <c:strCache>
                <c:ptCount val="1"/>
                <c:pt idx="0">
                  <c:v>CA NORM 3,5&gt;2,5</c:v>
                </c:pt>
              </c:strCache>
            </c:strRef>
          </c:tx>
          <c:invertIfNegative val="0"/>
          <c:cat>
            <c:strRef>
              <c:f>' typ oeil  formulle'!$W$32:$W$40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formulle'!$Z$32:$Z$40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E3-6342-8383-213C8CB2C5EC}"/>
            </c:ext>
          </c:extLst>
        </c:ser>
        <c:ser>
          <c:idx val="3"/>
          <c:order val="3"/>
          <c:tx>
            <c:strRef>
              <c:f>' typ oeil  formulle'!$AA$30</c:f>
              <c:strCache>
                <c:ptCount val="1"/>
                <c:pt idx="0">
                  <c:v>CA ETROITE 2,5&gt;2,0</c:v>
                </c:pt>
              </c:strCache>
            </c:strRef>
          </c:tx>
          <c:invertIfNegative val="0"/>
          <c:cat>
            <c:strRef>
              <c:f>' typ oeil  formulle'!$W$32:$W$40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formulle'!$AA$32:$AA$40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E3-6342-8383-213C8CB2C5EC}"/>
            </c:ext>
          </c:extLst>
        </c:ser>
        <c:ser>
          <c:idx val="4"/>
          <c:order val="4"/>
          <c:tx>
            <c:strRef>
              <c:f>' typ oeil  formulle'!$AB$30</c:f>
              <c:strCache>
                <c:ptCount val="1"/>
                <c:pt idx="0">
                  <c:v>CA tres etroite  &lt;2,0</c:v>
                </c:pt>
              </c:strCache>
            </c:strRef>
          </c:tx>
          <c:invertIfNegative val="0"/>
          <c:cat>
            <c:strRef>
              <c:f>' typ oeil  formulle'!$W$32:$W$40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formulle'!$AB$32:$AB$40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E3-6342-8383-213C8CB2C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6018688"/>
        <c:axId val="236036864"/>
        <c:axId val="0"/>
      </c:bar3DChart>
      <c:catAx>
        <c:axId val="2360186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36036864"/>
        <c:crosses val="autoZero"/>
        <c:auto val="1"/>
        <c:lblAlgn val="ctr"/>
        <c:lblOffset val="100"/>
        <c:noMultiLvlLbl val="0"/>
      </c:catAx>
      <c:valAx>
        <c:axId val="23603686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360186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 typ oeil  formulle'!$AE$30</c:f>
              <c:strCache>
                <c:ptCount val="1"/>
                <c:pt idx="0">
                  <c:v>LT TRES EPAIS &gt;5,3</c:v>
                </c:pt>
              </c:strCache>
            </c:strRef>
          </c:tx>
          <c:invertIfNegative val="0"/>
          <c:cat>
            <c:strRef>
              <c:f>' typ oeil  formulle'!$AD$32:$AD$40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formulle'!$AE$32:$AE$40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0D-7B48-8C02-331CDD63E7CA}"/>
            </c:ext>
          </c:extLst>
        </c:ser>
        <c:ser>
          <c:idx val="1"/>
          <c:order val="1"/>
          <c:tx>
            <c:strRef>
              <c:f>' typ oeil  formulle'!$AF$30</c:f>
              <c:strCache>
                <c:ptCount val="1"/>
                <c:pt idx="0">
                  <c:v>LT EPAIS 5,3&gt;4,9</c:v>
                </c:pt>
              </c:strCache>
            </c:strRef>
          </c:tx>
          <c:invertIfNegative val="0"/>
          <c:cat>
            <c:strRef>
              <c:f>' typ oeil  formulle'!$AD$32:$AD$40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formulle'!$AF$32:$AF$40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0D-7B48-8C02-331CDD63E7CA}"/>
            </c:ext>
          </c:extLst>
        </c:ser>
        <c:ser>
          <c:idx val="2"/>
          <c:order val="2"/>
          <c:tx>
            <c:strRef>
              <c:f>' typ oeil  formulle'!$AG$30</c:f>
              <c:strCache>
                <c:ptCount val="1"/>
                <c:pt idx="0">
                  <c:v>LT NORMAL 4,9&gt;3,8</c:v>
                </c:pt>
              </c:strCache>
            </c:strRef>
          </c:tx>
          <c:invertIfNegative val="0"/>
          <c:cat>
            <c:strRef>
              <c:f>' typ oeil  formulle'!$AD$32:$AD$40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formulle'!$AG$32:$AG$40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0D-7B48-8C02-331CDD63E7CA}"/>
            </c:ext>
          </c:extLst>
        </c:ser>
        <c:ser>
          <c:idx val="3"/>
          <c:order val="3"/>
          <c:tx>
            <c:strRef>
              <c:f>' typ oeil  formulle'!$AH$30</c:f>
              <c:strCache>
                <c:ptCount val="1"/>
                <c:pt idx="0">
                  <c:v>LT FIN&gt;3,8</c:v>
                </c:pt>
              </c:strCache>
            </c:strRef>
          </c:tx>
          <c:invertIfNegative val="0"/>
          <c:cat>
            <c:strRef>
              <c:f>' typ oeil  formulle'!$AD$32:$AD$40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formulle'!$AH$32:$AH$40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0D-7B48-8C02-331CDD63E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6154880"/>
        <c:axId val="236156416"/>
        <c:axId val="0"/>
      </c:bar3DChart>
      <c:catAx>
        <c:axId val="2361548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fr-FR"/>
          </a:p>
        </c:txPr>
        <c:crossAx val="236156416"/>
        <c:crosses val="autoZero"/>
        <c:auto val="1"/>
        <c:lblAlgn val="ctr"/>
        <c:lblOffset val="100"/>
        <c:noMultiLvlLbl val="0"/>
      </c:catAx>
      <c:valAx>
        <c:axId val="23615641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36154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 typ oeil  formulle'!$AL$30</c:f>
              <c:strCache>
                <c:ptCount val="1"/>
                <c:pt idx="0">
                  <c:v>WTW EXTREME &gt;13</c:v>
                </c:pt>
              </c:strCache>
            </c:strRef>
          </c:tx>
          <c:invertIfNegative val="0"/>
          <c:cat>
            <c:strRef>
              <c:f>' typ oeil  formulle'!$AK$32:$AK$40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formulle'!$AL$32:$AL$40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57-C246-8E3D-C43708608379}"/>
            </c:ext>
          </c:extLst>
        </c:ser>
        <c:ser>
          <c:idx val="1"/>
          <c:order val="1"/>
          <c:tx>
            <c:strRef>
              <c:f>' typ oeil  formulle'!$AM$30</c:f>
              <c:strCache>
                <c:ptCount val="1"/>
                <c:pt idx="0">
                  <c:v>WTW GRAND 13&gt;12,5</c:v>
                </c:pt>
              </c:strCache>
            </c:strRef>
          </c:tx>
          <c:invertIfNegative val="0"/>
          <c:cat>
            <c:strRef>
              <c:f>' typ oeil  formulle'!$AK$32:$AK$40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formulle'!$AM$32:$AM$40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57-C246-8E3D-C43708608379}"/>
            </c:ext>
          </c:extLst>
        </c:ser>
        <c:ser>
          <c:idx val="2"/>
          <c:order val="2"/>
          <c:tx>
            <c:strRef>
              <c:f>' typ oeil  formulle'!$AN$30</c:f>
              <c:strCache>
                <c:ptCount val="1"/>
                <c:pt idx="0">
                  <c:v>WTW NORM 12,5&gt;11,5</c:v>
                </c:pt>
              </c:strCache>
            </c:strRef>
          </c:tx>
          <c:invertIfNegative val="0"/>
          <c:cat>
            <c:strRef>
              <c:f>' typ oeil  formulle'!$AK$32:$AK$40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formulle'!$AN$32:$AN$40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57-C246-8E3D-C43708608379}"/>
            </c:ext>
          </c:extLst>
        </c:ser>
        <c:ser>
          <c:idx val="3"/>
          <c:order val="3"/>
          <c:tx>
            <c:strRef>
              <c:f>' typ oeil  formulle'!$AO$30</c:f>
              <c:strCache>
                <c:ptCount val="1"/>
                <c:pt idx="0">
                  <c:v>WTW PETITE &lt;11,5</c:v>
                </c:pt>
              </c:strCache>
            </c:strRef>
          </c:tx>
          <c:invertIfNegative val="0"/>
          <c:cat>
            <c:strRef>
              <c:f>' typ oeil  formulle'!$AK$32:$AK$40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formulle'!$AO$32:$AO$40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57-C246-8E3D-C43708608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6178816"/>
        <c:axId val="236184704"/>
        <c:axId val="0"/>
      </c:bar3DChart>
      <c:catAx>
        <c:axId val="2361788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fr-FR"/>
          </a:p>
        </c:txPr>
        <c:crossAx val="236184704"/>
        <c:crosses val="autoZero"/>
        <c:auto val="1"/>
        <c:lblAlgn val="ctr"/>
        <c:lblOffset val="100"/>
        <c:noMultiLvlLbl val="0"/>
      </c:catAx>
      <c:valAx>
        <c:axId val="23618470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361788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 typ oeil  formulle'!$AS$30</c:f>
              <c:strCache>
                <c:ptCount val="1"/>
                <c:pt idx="0">
                  <c:v>AGE             +90</c:v>
                </c:pt>
              </c:strCache>
            </c:strRef>
          </c:tx>
          <c:invertIfNegative val="0"/>
          <c:cat>
            <c:strRef>
              <c:f>' typ oeil  formulle'!$AR$32:$AR$40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formulle'!$AS$32:$AS$40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0D-E740-A02F-39B04DC26B5F}"/>
            </c:ext>
          </c:extLst>
        </c:ser>
        <c:ser>
          <c:idx val="1"/>
          <c:order val="1"/>
          <c:tx>
            <c:strRef>
              <c:f>' typ oeil  formulle'!$AT$30</c:f>
              <c:strCache>
                <c:ptCount val="1"/>
                <c:pt idx="0">
                  <c:v>AGE          89 =&gt; 80</c:v>
                </c:pt>
              </c:strCache>
            </c:strRef>
          </c:tx>
          <c:invertIfNegative val="0"/>
          <c:cat>
            <c:strRef>
              <c:f>' typ oeil  formulle'!$AR$32:$AR$40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formulle'!$AT$32:$AT$40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0D-E740-A02F-39B04DC26B5F}"/>
            </c:ext>
          </c:extLst>
        </c:ser>
        <c:ser>
          <c:idx val="2"/>
          <c:order val="2"/>
          <c:tx>
            <c:strRef>
              <c:f>' typ oeil  formulle'!$AU$30</c:f>
              <c:strCache>
                <c:ptCount val="1"/>
                <c:pt idx="0">
                  <c:v>AGE          80 =&gt; 70</c:v>
                </c:pt>
              </c:strCache>
            </c:strRef>
          </c:tx>
          <c:invertIfNegative val="0"/>
          <c:cat>
            <c:strRef>
              <c:f>' typ oeil  formulle'!$AR$32:$AR$40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formulle'!$AU$32:$AU$40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0D-E740-A02F-39B04DC26B5F}"/>
            </c:ext>
          </c:extLst>
        </c:ser>
        <c:ser>
          <c:idx val="3"/>
          <c:order val="3"/>
          <c:tx>
            <c:strRef>
              <c:f>' typ oeil  formulle'!$AV$30</c:f>
              <c:strCache>
                <c:ptCount val="1"/>
                <c:pt idx="0">
                  <c:v>AGE         69 =&gt; 60</c:v>
                </c:pt>
              </c:strCache>
            </c:strRef>
          </c:tx>
          <c:invertIfNegative val="0"/>
          <c:cat>
            <c:strRef>
              <c:f>' typ oeil  formulle'!$AR$32:$AR$40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formulle'!$AV$32:$AV$40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0D-E740-A02F-39B04DC26B5F}"/>
            </c:ext>
          </c:extLst>
        </c:ser>
        <c:ser>
          <c:idx val="4"/>
          <c:order val="4"/>
          <c:tx>
            <c:strRef>
              <c:f>' typ oeil  formulle'!$AW$30</c:f>
              <c:strCache>
                <c:ptCount val="1"/>
                <c:pt idx="0">
                  <c:v>AGE          59 =&gt; 50</c:v>
                </c:pt>
              </c:strCache>
            </c:strRef>
          </c:tx>
          <c:invertIfNegative val="0"/>
          <c:cat>
            <c:strRef>
              <c:f>' typ oeil  formulle'!$AR$32:$AR$40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formulle'!$AW$32:$AW$40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0D-E740-A02F-39B04DC26B5F}"/>
            </c:ext>
          </c:extLst>
        </c:ser>
        <c:ser>
          <c:idx val="5"/>
          <c:order val="5"/>
          <c:tx>
            <c:strRef>
              <c:f>' typ oeil  formulle'!$AX$30</c:f>
              <c:strCache>
                <c:ptCount val="1"/>
                <c:pt idx="0">
                  <c:v>AGE          49 =&gt; 40</c:v>
                </c:pt>
              </c:strCache>
            </c:strRef>
          </c:tx>
          <c:invertIfNegative val="0"/>
          <c:cat>
            <c:strRef>
              <c:f>' typ oeil  formulle'!$AR$32:$AR$40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formulle'!$AX$32:$AX$40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90D-E740-A02F-39B04DC26B5F}"/>
            </c:ext>
          </c:extLst>
        </c:ser>
        <c:ser>
          <c:idx val="6"/>
          <c:order val="6"/>
          <c:tx>
            <c:strRef>
              <c:f>' typ oeil  formulle'!$AY$30</c:f>
              <c:strCache>
                <c:ptCount val="1"/>
                <c:pt idx="0">
                  <c:v>AGE                -39</c:v>
                </c:pt>
              </c:strCache>
            </c:strRef>
          </c:tx>
          <c:invertIfNegative val="0"/>
          <c:cat>
            <c:strRef>
              <c:f>' typ oeil  formulle'!$AR$32:$AR$40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formulle'!$AY$32:$AY$40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90D-E740-A02F-39B04DC26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6111360"/>
        <c:axId val="236112896"/>
        <c:axId val="0"/>
      </c:bar3DChart>
      <c:catAx>
        <c:axId val="2361113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fr-FR"/>
          </a:p>
        </c:txPr>
        <c:crossAx val="236112896"/>
        <c:crosses val="autoZero"/>
        <c:auto val="1"/>
        <c:lblAlgn val="ctr"/>
        <c:lblOffset val="100"/>
        <c:noMultiLvlLbl val="0"/>
      </c:catAx>
      <c:valAx>
        <c:axId val="23611289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361113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 typ oeil  formulle'!$C$57</c:f>
              <c:strCache>
                <c:ptCount val="1"/>
                <c:pt idx="0">
                  <c:v>PUISSANCE IOL =&gt;30</c:v>
                </c:pt>
              </c:strCache>
            </c:strRef>
          </c:tx>
          <c:invertIfNegative val="0"/>
          <c:cat>
            <c:strRef>
              <c:f>' typ oeil  formulle'!$B$59:$B$67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formulle'!$C$59:$C$67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F-3E4A-BD4C-9CDEEDF6B9DF}"/>
            </c:ext>
          </c:extLst>
        </c:ser>
        <c:ser>
          <c:idx val="1"/>
          <c:order val="1"/>
          <c:tx>
            <c:strRef>
              <c:f>' typ oeil  formulle'!$D$57</c:f>
              <c:strCache>
                <c:ptCount val="1"/>
                <c:pt idx="0">
                  <c:v>PUISSANCE IOL 30 =&gt; 25</c:v>
                </c:pt>
              </c:strCache>
            </c:strRef>
          </c:tx>
          <c:invertIfNegative val="0"/>
          <c:cat>
            <c:strRef>
              <c:f>' typ oeil  formulle'!$B$59:$B$67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formulle'!$D$59:$D$67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6F-3E4A-BD4C-9CDEEDF6B9DF}"/>
            </c:ext>
          </c:extLst>
        </c:ser>
        <c:ser>
          <c:idx val="2"/>
          <c:order val="2"/>
          <c:tx>
            <c:strRef>
              <c:f>' typ oeil  formulle'!$E$57</c:f>
              <c:strCache>
                <c:ptCount val="1"/>
                <c:pt idx="0">
                  <c:v>PUISSANCE IOL 25 =&gt; 15</c:v>
                </c:pt>
              </c:strCache>
            </c:strRef>
          </c:tx>
          <c:invertIfNegative val="0"/>
          <c:cat>
            <c:strRef>
              <c:f>' typ oeil  formulle'!$B$59:$B$67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formulle'!$E$59:$E$67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6F-3E4A-BD4C-9CDEEDF6B9DF}"/>
            </c:ext>
          </c:extLst>
        </c:ser>
        <c:ser>
          <c:idx val="3"/>
          <c:order val="3"/>
          <c:tx>
            <c:strRef>
              <c:f>' typ oeil  formulle'!$F$57</c:f>
              <c:strCache>
                <c:ptCount val="1"/>
                <c:pt idx="0">
                  <c:v>PUISSANCE IOL 15 =&gt; 10</c:v>
                </c:pt>
              </c:strCache>
            </c:strRef>
          </c:tx>
          <c:invertIfNegative val="0"/>
          <c:cat>
            <c:strRef>
              <c:f>' typ oeil  formulle'!$B$59:$B$67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formulle'!$F$59:$F$67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6F-3E4A-BD4C-9CDEEDF6B9DF}"/>
            </c:ext>
          </c:extLst>
        </c:ser>
        <c:ser>
          <c:idx val="4"/>
          <c:order val="4"/>
          <c:tx>
            <c:strRef>
              <c:f>' typ oeil  formulle'!$G$57</c:f>
              <c:strCache>
                <c:ptCount val="1"/>
                <c:pt idx="0">
                  <c:v>PUISSANCE IOL 10 =&gt; 0</c:v>
                </c:pt>
              </c:strCache>
            </c:strRef>
          </c:tx>
          <c:invertIfNegative val="0"/>
          <c:cat>
            <c:strRef>
              <c:f>' typ oeil  formulle'!$B$59:$B$67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formulle'!$G$59:$G$67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6F-3E4A-BD4C-9CDEEDF6B9DF}"/>
            </c:ext>
          </c:extLst>
        </c:ser>
        <c:ser>
          <c:idx val="5"/>
          <c:order val="5"/>
          <c:tx>
            <c:strRef>
              <c:f>' typ oeil  formulle'!$H$57</c:f>
              <c:strCache>
                <c:ptCount val="1"/>
                <c:pt idx="0">
                  <c:v>PUISSANCE IOL 0=&gt;</c:v>
                </c:pt>
              </c:strCache>
            </c:strRef>
          </c:tx>
          <c:invertIfNegative val="0"/>
          <c:cat>
            <c:strRef>
              <c:f>' typ oeil  formulle'!$B$59:$B$67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formulle'!$H$59:$H$67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6F-3E4A-BD4C-9CDEEDF6B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6226816"/>
        <c:axId val="236240896"/>
        <c:axId val="0"/>
      </c:bar3DChart>
      <c:catAx>
        <c:axId val="2362268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fr-FR"/>
          </a:p>
        </c:txPr>
        <c:crossAx val="236240896"/>
        <c:crosses val="autoZero"/>
        <c:auto val="1"/>
        <c:lblAlgn val="ctr"/>
        <c:lblOffset val="100"/>
        <c:noMultiLvlLbl val="0"/>
      </c:catAx>
      <c:valAx>
        <c:axId val="23624089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362268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 typ oeil  formulle'!$J$57</c:f>
              <c:strCache>
                <c:ptCount val="1"/>
                <c:pt idx="0">
                  <c:v>œil extrème &gt;28mm</c:v>
                </c:pt>
              </c:strCache>
            </c:strRef>
          </c:tx>
          <c:invertIfNegative val="0"/>
          <c:cat>
            <c:strRef>
              <c:f>' typ oeil  formulle'!$I$59:$I$67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formulle'!$J$59:$J$67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D3-BB4F-BDEF-CF223FA28F5A}"/>
            </c:ext>
          </c:extLst>
        </c:ser>
        <c:ser>
          <c:idx val="1"/>
          <c:order val="1"/>
          <c:tx>
            <c:strRef>
              <c:f>' typ oeil  formulle'!$K$57</c:f>
              <c:strCache>
                <c:ptCount val="1"/>
                <c:pt idx="0">
                  <c:v>Œil très  long 28&gt;26</c:v>
                </c:pt>
              </c:strCache>
            </c:strRef>
          </c:tx>
          <c:invertIfNegative val="0"/>
          <c:cat>
            <c:strRef>
              <c:f>' typ oeil  formulle'!$I$59:$I$67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formulle'!$K$59:$K$67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D3-BB4F-BDEF-CF223FA28F5A}"/>
            </c:ext>
          </c:extLst>
        </c:ser>
        <c:ser>
          <c:idx val="2"/>
          <c:order val="2"/>
          <c:tx>
            <c:strRef>
              <c:f>' typ oeil  formulle'!$L$57</c:f>
              <c:strCache>
                <c:ptCount val="1"/>
                <c:pt idx="0">
                  <c:v>Œil long 26&gt;24,5</c:v>
                </c:pt>
              </c:strCache>
            </c:strRef>
          </c:tx>
          <c:invertIfNegative val="0"/>
          <c:cat>
            <c:strRef>
              <c:f>' typ oeil  formulle'!$I$59:$I$67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formulle'!$L$59:$L$67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D3-BB4F-BDEF-CF223FA28F5A}"/>
            </c:ext>
          </c:extLst>
        </c:ser>
        <c:ser>
          <c:idx val="3"/>
          <c:order val="3"/>
          <c:tx>
            <c:strRef>
              <c:f>' typ oeil  formulle'!$M$57</c:f>
              <c:strCache>
                <c:ptCount val="1"/>
                <c:pt idx="0">
                  <c:v>Œil long NORMAL 24,5&gt;22,5</c:v>
                </c:pt>
              </c:strCache>
            </c:strRef>
          </c:tx>
          <c:invertIfNegative val="0"/>
          <c:cat>
            <c:strRef>
              <c:f>' typ oeil  formulle'!$I$59:$I$67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formulle'!$M$59:$M$67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D3-BB4F-BDEF-CF223FA28F5A}"/>
            </c:ext>
          </c:extLst>
        </c:ser>
        <c:ser>
          <c:idx val="4"/>
          <c:order val="4"/>
          <c:tx>
            <c:strRef>
              <c:f>' typ oeil  formulle'!$N$57</c:f>
              <c:strCache>
                <c:ptCount val="1"/>
                <c:pt idx="0">
                  <c:v>Œil court 22,5&gt;20</c:v>
                </c:pt>
              </c:strCache>
            </c:strRef>
          </c:tx>
          <c:invertIfNegative val="0"/>
          <c:cat>
            <c:strRef>
              <c:f>' typ oeil  formulle'!$I$59:$I$67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formulle'!$N$59:$N$67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D3-BB4F-BDEF-CF223FA28F5A}"/>
            </c:ext>
          </c:extLst>
        </c:ser>
        <c:ser>
          <c:idx val="5"/>
          <c:order val="5"/>
          <c:tx>
            <c:strRef>
              <c:f>' typ oeil  formulle'!$O$57</c:f>
              <c:strCache>
                <c:ptCount val="1"/>
                <c:pt idx="0">
                  <c:v>Œil très court        &lt;20</c:v>
                </c:pt>
              </c:strCache>
            </c:strRef>
          </c:tx>
          <c:invertIfNegative val="0"/>
          <c:cat>
            <c:strRef>
              <c:f>' typ oeil  formulle'!$I$59:$I$67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formulle'!$O$59:$O$67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8D3-BB4F-BDEF-CF223FA28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6359040"/>
        <c:axId val="236373120"/>
        <c:axId val="0"/>
      </c:bar3DChart>
      <c:catAx>
        <c:axId val="236359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fr-FR"/>
          </a:p>
        </c:txPr>
        <c:crossAx val="236373120"/>
        <c:crosses val="autoZero"/>
        <c:auto val="1"/>
        <c:lblAlgn val="ctr"/>
        <c:lblOffset val="100"/>
        <c:noMultiLvlLbl val="0"/>
      </c:catAx>
      <c:valAx>
        <c:axId val="23637312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363590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 typ oeil  formulle'!$Q$57</c:f>
              <c:strCache>
                <c:ptCount val="1"/>
                <c:pt idx="0">
                  <c:v>K extrème &gt;48,5</c:v>
                </c:pt>
              </c:strCache>
            </c:strRef>
          </c:tx>
          <c:invertIfNegative val="0"/>
          <c:cat>
            <c:strRef>
              <c:f>' typ oeil  formulle'!$P$59:$P$67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formulle'!$Q$59:$Q$67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FA-9E46-902E-864B48F26E9C}"/>
            </c:ext>
          </c:extLst>
        </c:ser>
        <c:ser>
          <c:idx val="1"/>
          <c:order val="1"/>
          <c:tx>
            <c:strRef>
              <c:f>' typ oeil  formulle'!$R$57</c:f>
              <c:strCache>
                <c:ptCount val="1"/>
                <c:pt idx="0">
                  <c:v>K CAMBRE 48,5&gt;46,5</c:v>
                </c:pt>
              </c:strCache>
            </c:strRef>
          </c:tx>
          <c:invertIfNegative val="0"/>
          <c:cat>
            <c:strRef>
              <c:f>' typ oeil  formulle'!$P$59:$P$67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formulle'!$R$59:$R$67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FA-9E46-902E-864B48F26E9C}"/>
            </c:ext>
          </c:extLst>
        </c:ser>
        <c:ser>
          <c:idx val="2"/>
          <c:order val="2"/>
          <c:tx>
            <c:strRef>
              <c:f>' typ oeil  formulle'!$S$57</c:f>
              <c:strCache>
                <c:ptCount val="1"/>
                <c:pt idx="0">
                  <c:v>K CAMBRE- 46,5&gt;45</c:v>
                </c:pt>
              </c:strCache>
            </c:strRef>
          </c:tx>
          <c:invertIfNegative val="0"/>
          <c:cat>
            <c:strRef>
              <c:f>' typ oeil  formulle'!$P$59:$P$67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formulle'!$S$59:$S$67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FA-9E46-902E-864B48F26E9C}"/>
            </c:ext>
          </c:extLst>
        </c:ser>
        <c:ser>
          <c:idx val="3"/>
          <c:order val="3"/>
          <c:tx>
            <c:strRef>
              <c:f>' typ oeil  formulle'!$T$57</c:f>
              <c:strCache>
                <c:ptCount val="1"/>
                <c:pt idx="0">
                  <c:v>K NORM 45&gt;43</c:v>
                </c:pt>
              </c:strCache>
            </c:strRef>
          </c:tx>
          <c:invertIfNegative val="0"/>
          <c:cat>
            <c:strRef>
              <c:f>' typ oeil  formulle'!$P$59:$P$67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formulle'!$T$59:$T$67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FA-9E46-902E-864B48F26E9C}"/>
            </c:ext>
          </c:extLst>
        </c:ser>
        <c:ser>
          <c:idx val="4"/>
          <c:order val="4"/>
          <c:tx>
            <c:strRef>
              <c:f>' typ oeil  formulle'!$U$57</c:f>
              <c:strCache>
                <c:ptCount val="1"/>
                <c:pt idx="0">
                  <c:v>K PLAT-  43&gt;41</c:v>
                </c:pt>
              </c:strCache>
            </c:strRef>
          </c:tx>
          <c:invertIfNegative val="0"/>
          <c:cat>
            <c:strRef>
              <c:f>' typ oeil  formulle'!$P$59:$P$67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formulle'!$U$59:$U$67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FA-9E46-902E-864B48F26E9C}"/>
            </c:ext>
          </c:extLst>
        </c:ser>
        <c:ser>
          <c:idx val="5"/>
          <c:order val="5"/>
          <c:tx>
            <c:strRef>
              <c:f>' typ oeil  formulle'!$V$57</c:f>
              <c:strCache>
                <c:ptCount val="1"/>
                <c:pt idx="0">
                  <c:v>K PLAT &gt;41,0</c:v>
                </c:pt>
              </c:strCache>
            </c:strRef>
          </c:tx>
          <c:invertIfNegative val="0"/>
          <c:cat>
            <c:strRef>
              <c:f>' typ oeil  formulle'!$P$59:$P$67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formulle'!$V$59:$V$67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5FA-9E46-902E-864B48F26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6274432"/>
        <c:axId val="236275968"/>
        <c:axId val="0"/>
      </c:bar3DChart>
      <c:catAx>
        <c:axId val="2362744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fr-FR"/>
          </a:p>
        </c:txPr>
        <c:crossAx val="236275968"/>
        <c:crosses val="autoZero"/>
        <c:auto val="1"/>
        <c:lblAlgn val="ctr"/>
        <c:lblOffset val="100"/>
        <c:noMultiLvlLbl val="0"/>
      </c:catAx>
      <c:valAx>
        <c:axId val="23627596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362744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 typ oeil  formulle'!$X$57:$X$58</c:f>
              <c:strCache>
                <c:ptCount val="2"/>
                <c:pt idx="0">
                  <c:v>CA extrème &gt;4,0</c:v>
                </c:pt>
              </c:strCache>
            </c:strRef>
          </c:tx>
          <c:invertIfNegative val="0"/>
          <c:cat>
            <c:strRef>
              <c:f>' typ oeil  formulle'!$W$59:$W$67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formulle'!$X$59:$X$67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8F-E644-9706-ECDDCC7EFF39}"/>
            </c:ext>
          </c:extLst>
        </c:ser>
        <c:ser>
          <c:idx val="1"/>
          <c:order val="1"/>
          <c:tx>
            <c:strRef>
              <c:f>' typ oeil  formulle'!$Y$57:$Y$58</c:f>
              <c:strCache>
                <c:ptCount val="2"/>
                <c:pt idx="0">
                  <c:v>CA profonde 4&gt;3,5</c:v>
                </c:pt>
              </c:strCache>
            </c:strRef>
          </c:tx>
          <c:invertIfNegative val="0"/>
          <c:cat>
            <c:strRef>
              <c:f>' typ oeil  formulle'!$W$59:$W$67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formulle'!$Y$59:$Y$67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8F-E644-9706-ECDDCC7EFF39}"/>
            </c:ext>
          </c:extLst>
        </c:ser>
        <c:ser>
          <c:idx val="2"/>
          <c:order val="2"/>
          <c:tx>
            <c:strRef>
              <c:f>' typ oeil  formulle'!$Z$57:$Z$58</c:f>
              <c:strCache>
                <c:ptCount val="2"/>
                <c:pt idx="0">
                  <c:v>CA NORM 3,5&gt;2,5</c:v>
                </c:pt>
              </c:strCache>
            </c:strRef>
          </c:tx>
          <c:invertIfNegative val="0"/>
          <c:cat>
            <c:strRef>
              <c:f>' typ oeil  formulle'!$W$59:$W$67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formulle'!$Z$59:$Z$67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8F-E644-9706-ECDDCC7EFF39}"/>
            </c:ext>
          </c:extLst>
        </c:ser>
        <c:ser>
          <c:idx val="3"/>
          <c:order val="3"/>
          <c:tx>
            <c:strRef>
              <c:f>' typ oeil  formulle'!$AA$57:$AA$58</c:f>
              <c:strCache>
                <c:ptCount val="2"/>
                <c:pt idx="0">
                  <c:v>CA ETROITE 2,5&gt;2,0</c:v>
                </c:pt>
              </c:strCache>
            </c:strRef>
          </c:tx>
          <c:invertIfNegative val="0"/>
          <c:cat>
            <c:strRef>
              <c:f>' typ oeil  formulle'!$W$59:$W$67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formulle'!$AA$59:$AA$67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8F-E644-9706-ECDDCC7EFF39}"/>
            </c:ext>
          </c:extLst>
        </c:ser>
        <c:ser>
          <c:idx val="4"/>
          <c:order val="4"/>
          <c:tx>
            <c:strRef>
              <c:f>' typ oeil  formulle'!$AB$57:$AB$58</c:f>
              <c:strCache>
                <c:ptCount val="2"/>
                <c:pt idx="0">
                  <c:v>CA tres etroite  &lt;2,0</c:v>
                </c:pt>
              </c:strCache>
            </c:strRef>
          </c:tx>
          <c:invertIfNegative val="0"/>
          <c:cat>
            <c:strRef>
              <c:f>' typ oeil  formulle'!$W$59:$W$67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formulle'!$AB$59:$AB$67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8F-E644-9706-ECDDCC7EF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6318720"/>
        <c:axId val="236320256"/>
        <c:axId val="0"/>
      </c:bar3DChart>
      <c:catAx>
        <c:axId val="2363187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36320256"/>
        <c:crosses val="autoZero"/>
        <c:auto val="1"/>
        <c:lblAlgn val="ctr"/>
        <c:lblOffset val="100"/>
        <c:noMultiLvlLbl val="0"/>
      </c:catAx>
      <c:valAx>
        <c:axId val="23632025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363187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 typ oeil  formulle'!$AE$57:$AE$58</c:f>
              <c:strCache>
                <c:ptCount val="2"/>
                <c:pt idx="0">
                  <c:v>LT TRES EPAIS &gt;5,3</c:v>
                </c:pt>
              </c:strCache>
            </c:strRef>
          </c:tx>
          <c:invertIfNegative val="0"/>
          <c:cat>
            <c:strRef>
              <c:f>' typ oeil  formulle'!$AD$59:$AD$67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formulle'!$AE$59:$AE$67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C-A444-BF99-0FC7F276772D}"/>
            </c:ext>
          </c:extLst>
        </c:ser>
        <c:ser>
          <c:idx val="1"/>
          <c:order val="1"/>
          <c:tx>
            <c:strRef>
              <c:f>' typ oeil  formulle'!$AF$57:$AF$58</c:f>
              <c:strCache>
                <c:ptCount val="2"/>
                <c:pt idx="0">
                  <c:v>LT EPAIS 5,3&gt;4,9</c:v>
                </c:pt>
              </c:strCache>
            </c:strRef>
          </c:tx>
          <c:invertIfNegative val="0"/>
          <c:cat>
            <c:strRef>
              <c:f>' typ oeil  formulle'!$AD$59:$AD$67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formulle'!$AF$59:$AF$67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4C-A444-BF99-0FC7F276772D}"/>
            </c:ext>
          </c:extLst>
        </c:ser>
        <c:ser>
          <c:idx val="2"/>
          <c:order val="2"/>
          <c:tx>
            <c:strRef>
              <c:f>' typ oeil  formulle'!$AG$57:$AG$58</c:f>
              <c:strCache>
                <c:ptCount val="2"/>
                <c:pt idx="0">
                  <c:v>LT NORMAL 4,9&gt;3,8</c:v>
                </c:pt>
              </c:strCache>
            </c:strRef>
          </c:tx>
          <c:invertIfNegative val="0"/>
          <c:cat>
            <c:strRef>
              <c:f>' typ oeil  formulle'!$AD$59:$AD$67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formulle'!$AG$59:$AG$67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4C-A444-BF99-0FC7F276772D}"/>
            </c:ext>
          </c:extLst>
        </c:ser>
        <c:ser>
          <c:idx val="3"/>
          <c:order val="3"/>
          <c:tx>
            <c:strRef>
              <c:f>' typ oeil  formulle'!$AH$57:$AH$58</c:f>
              <c:strCache>
                <c:ptCount val="2"/>
                <c:pt idx="0">
                  <c:v>LT FIN&gt;3,8</c:v>
                </c:pt>
              </c:strCache>
            </c:strRef>
          </c:tx>
          <c:invertIfNegative val="0"/>
          <c:cat>
            <c:strRef>
              <c:f>' typ oeil  formulle'!$AD$59:$AD$67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formulle'!$AH$59:$AH$67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4C-A444-BF99-0FC7F2767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6430080"/>
        <c:axId val="236431616"/>
        <c:axId val="0"/>
      </c:bar3DChart>
      <c:catAx>
        <c:axId val="2364300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fr-FR"/>
          </a:p>
        </c:txPr>
        <c:crossAx val="236431616"/>
        <c:crosses val="autoZero"/>
        <c:auto val="1"/>
        <c:lblAlgn val="ctr"/>
        <c:lblOffset val="100"/>
        <c:noMultiLvlLbl val="0"/>
      </c:catAx>
      <c:valAx>
        <c:axId val="23643161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364300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 typ oeil  formulle'!$AL$57:$AL$58</c:f>
              <c:strCache>
                <c:ptCount val="2"/>
                <c:pt idx="0">
                  <c:v>WTW EXTREME &gt;13</c:v>
                </c:pt>
              </c:strCache>
            </c:strRef>
          </c:tx>
          <c:invertIfNegative val="0"/>
          <c:cat>
            <c:strRef>
              <c:f>' typ oeil  formulle'!$AK$59:$AK$67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formulle'!$AL$59:$AL$67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21-7A4E-8A9D-72372EBE3EEA}"/>
            </c:ext>
          </c:extLst>
        </c:ser>
        <c:ser>
          <c:idx val="1"/>
          <c:order val="1"/>
          <c:tx>
            <c:strRef>
              <c:f>' typ oeil  formulle'!$AM$57:$AM$58</c:f>
              <c:strCache>
                <c:ptCount val="2"/>
                <c:pt idx="0">
                  <c:v>WTW GRAND 13&gt;12,5</c:v>
                </c:pt>
              </c:strCache>
            </c:strRef>
          </c:tx>
          <c:invertIfNegative val="0"/>
          <c:cat>
            <c:strRef>
              <c:f>' typ oeil  formulle'!$AK$59:$AK$67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formulle'!$AM$59:$AM$67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21-7A4E-8A9D-72372EBE3EEA}"/>
            </c:ext>
          </c:extLst>
        </c:ser>
        <c:ser>
          <c:idx val="2"/>
          <c:order val="2"/>
          <c:tx>
            <c:strRef>
              <c:f>' typ oeil  formulle'!$AN$57:$AN$58</c:f>
              <c:strCache>
                <c:ptCount val="2"/>
                <c:pt idx="0">
                  <c:v>WTW NORM 12,5&gt;11,5</c:v>
                </c:pt>
              </c:strCache>
            </c:strRef>
          </c:tx>
          <c:invertIfNegative val="0"/>
          <c:cat>
            <c:strRef>
              <c:f>' typ oeil  formulle'!$AK$59:$AK$67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formulle'!$AN$59:$AN$67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21-7A4E-8A9D-72372EBE3EEA}"/>
            </c:ext>
          </c:extLst>
        </c:ser>
        <c:ser>
          <c:idx val="3"/>
          <c:order val="3"/>
          <c:tx>
            <c:strRef>
              <c:f>' typ oeil  formulle'!$AO$57:$AO$58</c:f>
              <c:strCache>
                <c:ptCount val="2"/>
                <c:pt idx="0">
                  <c:v>WTW PETITE &lt;11,5</c:v>
                </c:pt>
              </c:strCache>
            </c:strRef>
          </c:tx>
          <c:invertIfNegative val="0"/>
          <c:cat>
            <c:strRef>
              <c:f>' typ oeil  formulle'!$AK$59:$AK$67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formulle'!$AO$59:$AO$67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21-7A4E-8A9D-72372EBE3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6552576"/>
        <c:axId val="236554112"/>
        <c:axId val="0"/>
      </c:bar3DChart>
      <c:catAx>
        <c:axId val="2365525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fr-FR"/>
          </a:p>
        </c:txPr>
        <c:crossAx val="236554112"/>
        <c:crosses val="autoZero"/>
        <c:auto val="1"/>
        <c:lblAlgn val="ctr"/>
        <c:lblOffset val="100"/>
        <c:noMultiLvlLbl val="0"/>
      </c:catAx>
      <c:valAx>
        <c:axId val="23655411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365525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 typ oeil  formulle'!$AS$57:$AS$58</c:f>
              <c:strCache>
                <c:ptCount val="2"/>
                <c:pt idx="0">
                  <c:v>AGE             +90</c:v>
                </c:pt>
              </c:strCache>
            </c:strRef>
          </c:tx>
          <c:invertIfNegative val="0"/>
          <c:cat>
            <c:strRef>
              <c:f>' typ oeil  formulle'!$AR$59:$AR$67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formulle'!$AS$59:$AS$67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87-6C46-AF9B-B4016CC2A02D}"/>
            </c:ext>
          </c:extLst>
        </c:ser>
        <c:ser>
          <c:idx val="1"/>
          <c:order val="1"/>
          <c:tx>
            <c:strRef>
              <c:f>' typ oeil  formulle'!$AT$57:$AT$58</c:f>
              <c:strCache>
                <c:ptCount val="2"/>
                <c:pt idx="0">
                  <c:v>AGE          89 =&gt; 80</c:v>
                </c:pt>
              </c:strCache>
            </c:strRef>
          </c:tx>
          <c:invertIfNegative val="0"/>
          <c:cat>
            <c:strRef>
              <c:f>' typ oeil  formulle'!$AR$59:$AR$67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formulle'!$AT$59:$AT$67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87-6C46-AF9B-B4016CC2A02D}"/>
            </c:ext>
          </c:extLst>
        </c:ser>
        <c:ser>
          <c:idx val="2"/>
          <c:order val="2"/>
          <c:tx>
            <c:strRef>
              <c:f>' typ oeil  formulle'!$AU$57:$AU$58</c:f>
              <c:strCache>
                <c:ptCount val="2"/>
                <c:pt idx="0">
                  <c:v>AGE          80 =&gt; 70</c:v>
                </c:pt>
              </c:strCache>
            </c:strRef>
          </c:tx>
          <c:invertIfNegative val="0"/>
          <c:cat>
            <c:strRef>
              <c:f>' typ oeil  formulle'!$AR$59:$AR$67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formulle'!$AU$59:$AU$67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87-6C46-AF9B-B4016CC2A02D}"/>
            </c:ext>
          </c:extLst>
        </c:ser>
        <c:ser>
          <c:idx val="3"/>
          <c:order val="3"/>
          <c:tx>
            <c:strRef>
              <c:f>' typ oeil  formulle'!$AV$57:$AV$58</c:f>
              <c:strCache>
                <c:ptCount val="2"/>
                <c:pt idx="0">
                  <c:v>AGE         69 =&gt; 60</c:v>
                </c:pt>
              </c:strCache>
            </c:strRef>
          </c:tx>
          <c:invertIfNegative val="0"/>
          <c:cat>
            <c:strRef>
              <c:f>' typ oeil  formulle'!$AR$59:$AR$67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formulle'!$AV$59:$AV$67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87-6C46-AF9B-B4016CC2A02D}"/>
            </c:ext>
          </c:extLst>
        </c:ser>
        <c:ser>
          <c:idx val="4"/>
          <c:order val="4"/>
          <c:tx>
            <c:strRef>
              <c:f>' typ oeil  formulle'!$AW$57:$AW$58</c:f>
              <c:strCache>
                <c:ptCount val="2"/>
                <c:pt idx="0">
                  <c:v>AGE          59 =&gt; 50</c:v>
                </c:pt>
              </c:strCache>
            </c:strRef>
          </c:tx>
          <c:invertIfNegative val="0"/>
          <c:cat>
            <c:strRef>
              <c:f>' typ oeil  formulle'!$AR$59:$AR$67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formulle'!$AW$59:$AW$67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87-6C46-AF9B-B4016CC2A02D}"/>
            </c:ext>
          </c:extLst>
        </c:ser>
        <c:ser>
          <c:idx val="5"/>
          <c:order val="5"/>
          <c:tx>
            <c:strRef>
              <c:f>' typ oeil  formulle'!$AX$57:$AX$58</c:f>
              <c:strCache>
                <c:ptCount val="2"/>
                <c:pt idx="0">
                  <c:v>AGE          49 =&gt; 40</c:v>
                </c:pt>
              </c:strCache>
            </c:strRef>
          </c:tx>
          <c:invertIfNegative val="0"/>
          <c:cat>
            <c:strRef>
              <c:f>' typ oeil  formulle'!$AR$59:$AR$67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formulle'!$AX$59:$AX$67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87-6C46-AF9B-B4016CC2A02D}"/>
            </c:ext>
          </c:extLst>
        </c:ser>
        <c:ser>
          <c:idx val="6"/>
          <c:order val="6"/>
          <c:tx>
            <c:strRef>
              <c:f>' typ oeil  formulle'!$AY$57:$AY$58</c:f>
              <c:strCache>
                <c:ptCount val="2"/>
                <c:pt idx="0">
                  <c:v>AGE                -39</c:v>
                </c:pt>
              </c:strCache>
            </c:strRef>
          </c:tx>
          <c:invertIfNegative val="0"/>
          <c:cat>
            <c:strRef>
              <c:f>' typ oeil  formulle'!$AR$59:$AR$67</c:f>
              <c:strCache>
                <c:ptCount val="9"/>
                <c:pt idx="0">
                  <c:v>&gt;+1,0</c:v>
                </c:pt>
                <c:pt idx="1">
                  <c:v> +1,0 à +0,76</c:v>
                </c:pt>
                <c:pt idx="2">
                  <c:v> +0,75 à +0,51</c:v>
                </c:pt>
                <c:pt idx="3">
                  <c:v> +0,50 à +0,26</c:v>
                </c:pt>
                <c:pt idx="4">
                  <c:v> +0,25 à -0,25</c:v>
                </c:pt>
                <c:pt idx="5">
                  <c:v> -0,26 à -0,50</c:v>
                </c:pt>
                <c:pt idx="6">
                  <c:v> -0,51 à -0,75</c:v>
                </c:pt>
                <c:pt idx="7">
                  <c:v> -0,76 -1,0</c:v>
                </c:pt>
                <c:pt idx="8">
                  <c:v>&gt; -1,0</c:v>
                </c:pt>
              </c:strCache>
            </c:strRef>
          </c:cat>
          <c:val>
            <c:numRef>
              <c:f>' typ oeil  formulle'!$AY$59:$AY$67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87-6C46-AF9B-B4016CC2A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6464768"/>
        <c:axId val="236474752"/>
        <c:axId val="0"/>
      </c:bar3DChart>
      <c:catAx>
        <c:axId val="2364647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fr-FR"/>
          </a:p>
        </c:txPr>
        <c:crossAx val="236474752"/>
        <c:crosses val="autoZero"/>
        <c:auto val="1"/>
        <c:lblAlgn val="ctr"/>
        <c:lblOffset val="100"/>
        <c:noMultiLvlLbl val="0"/>
      </c:catAx>
      <c:valAx>
        <c:axId val="23647475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364647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ANTECEDANT!$A$3</c:f>
              <c:strCache>
                <c:ptCount val="1"/>
                <c:pt idx="0">
                  <c:v>BARRETTE</c:v>
                </c:pt>
              </c:strCache>
            </c:strRef>
          </c:tx>
          <c:invertIfNegative val="0"/>
          <c:cat>
            <c:strRef>
              <c:f>ANTECEDANT!$B$2:$N$2</c:f>
              <c:strCache>
                <c:ptCount val="13"/>
                <c:pt idx="0">
                  <c:v>RAS</c:v>
                </c:pt>
                <c:pt idx="1">
                  <c:v>AMBLYOPE</c:v>
                </c:pt>
                <c:pt idx="2">
                  <c:v>CHIR REF</c:v>
                </c:pt>
                <c:pt idx="3">
                  <c:v>DGM</c:v>
                </c:pt>
                <c:pt idx="4">
                  <c:v>GLAUCOME</c:v>
                </c:pt>
                <c:pt idx="5">
                  <c:v>GUTTATA</c:v>
                </c:pt>
                <c:pt idx="6">
                  <c:v>KCN</c:v>
                </c:pt>
                <c:pt idx="7">
                  <c:v>MYOPE F</c:v>
                </c:pt>
                <c:pt idx="8">
                  <c:v>PELUCIDE</c:v>
                </c:pt>
                <c:pt idx="9">
                  <c:v>PKP</c:v>
                </c:pt>
                <c:pt idx="10">
                  <c:v>PTOSIS</c:v>
                </c:pt>
                <c:pt idx="11">
                  <c:v>SECHERESSE</c:v>
                </c:pt>
                <c:pt idx="12">
                  <c:v>DASEK</c:v>
                </c:pt>
              </c:strCache>
            </c:strRef>
          </c:cat>
          <c:val>
            <c:numRef>
              <c:f>ANTECEDANT!$B$3:$N$3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0-91D5-8E43-AEFF-8C481C65EDA6}"/>
            </c:ext>
          </c:extLst>
        </c:ser>
        <c:ser>
          <c:idx val="1"/>
          <c:order val="1"/>
          <c:tx>
            <c:strRef>
              <c:f>ANTECEDANT!$A$4</c:f>
              <c:strCache>
                <c:ptCount val="1"/>
                <c:pt idx="0">
                  <c:v>&gt;+1,0</c:v>
                </c:pt>
              </c:strCache>
            </c:strRef>
          </c:tx>
          <c:invertIfNegative val="0"/>
          <c:cat>
            <c:strRef>
              <c:f>ANTECEDANT!$B$2:$N$2</c:f>
              <c:strCache>
                <c:ptCount val="13"/>
                <c:pt idx="0">
                  <c:v>RAS</c:v>
                </c:pt>
                <c:pt idx="1">
                  <c:v>AMBLYOPE</c:v>
                </c:pt>
                <c:pt idx="2">
                  <c:v>CHIR REF</c:v>
                </c:pt>
                <c:pt idx="3">
                  <c:v>DGM</c:v>
                </c:pt>
                <c:pt idx="4">
                  <c:v>GLAUCOME</c:v>
                </c:pt>
                <c:pt idx="5">
                  <c:v>GUTTATA</c:v>
                </c:pt>
                <c:pt idx="6">
                  <c:v>KCN</c:v>
                </c:pt>
                <c:pt idx="7">
                  <c:v>MYOPE F</c:v>
                </c:pt>
                <c:pt idx="8">
                  <c:v>PELUCIDE</c:v>
                </c:pt>
                <c:pt idx="9">
                  <c:v>PKP</c:v>
                </c:pt>
                <c:pt idx="10">
                  <c:v>PTOSIS</c:v>
                </c:pt>
                <c:pt idx="11">
                  <c:v>SECHERESSE</c:v>
                </c:pt>
                <c:pt idx="12">
                  <c:v>DASEK</c:v>
                </c:pt>
              </c:strCache>
            </c:strRef>
          </c:cat>
          <c:val>
            <c:numRef>
              <c:f>ANTECEDANT!$B$4:$N$4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D5-8E43-AEFF-8C481C65EDA6}"/>
            </c:ext>
          </c:extLst>
        </c:ser>
        <c:ser>
          <c:idx val="2"/>
          <c:order val="2"/>
          <c:tx>
            <c:strRef>
              <c:f>ANTECEDANT!$A$5</c:f>
              <c:strCache>
                <c:ptCount val="1"/>
                <c:pt idx="0">
                  <c:v> +1,0 à +0,76</c:v>
                </c:pt>
              </c:strCache>
            </c:strRef>
          </c:tx>
          <c:invertIfNegative val="0"/>
          <c:cat>
            <c:strRef>
              <c:f>ANTECEDANT!$B$2:$N$2</c:f>
              <c:strCache>
                <c:ptCount val="13"/>
                <c:pt idx="0">
                  <c:v>RAS</c:v>
                </c:pt>
                <c:pt idx="1">
                  <c:v>AMBLYOPE</c:v>
                </c:pt>
                <c:pt idx="2">
                  <c:v>CHIR REF</c:v>
                </c:pt>
                <c:pt idx="3">
                  <c:v>DGM</c:v>
                </c:pt>
                <c:pt idx="4">
                  <c:v>GLAUCOME</c:v>
                </c:pt>
                <c:pt idx="5">
                  <c:v>GUTTATA</c:v>
                </c:pt>
                <c:pt idx="6">
                  <c:v>KCN</c:v>
                </c:pt>
                <c:pt idx="7">
                  <c:v>MYOPE F</c:v>
                </c:pt>
                <c:pt idx="8">
                  <c:v>PELUCIDE</c:v>
                </c:pt>
                <c:pt idx="9">
                  <c:v>PKP</c:v>
                </c:pt>
                <c:pt idx="10">
                  <c:v>PTOSIS</c:v>
                </c:pt>
                <c:pt idx="11">
                  <c:v>SECHERESSE</c:v>
                </c:pt>
                <c:pt idx="12">
                  <c:v>DASEK</c:v>
                </c:pt>
              </c:strCache>
            </c:strRef>
          </c:cat>
          <c:val>
            <c:numRef>
              <c:f>ANTECEDANT!$B$5:$N$5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D5-8E43-AEFF-8C481C65EDA6}"/>
            </c:ext>
          </c:extLst>
        </c:ser>
        <c:ser>
          <c:idx val="3"/>
          <c:order val="3"/>
          <c:tx>
            <c:strRef>
              <c:f>ANTECEDANT!$A$6</c:f>
              <c:strCache>
                <c:ptCount val="1"/>
                <c:pt idx="0">
                  <c:v> +0,75 à +0,51</c:v>
                </c:pt>
              </c:strCache>
            </c:strRef>
          </c:tx>
          <c:invertIfNegative val="0"/>
          <c:cat>
            <c:strRef>
              <c:f>ANTECEDANT!$B$2:$N$2</c:f>
              <c:strCache>
                <c:ptCount val="13"/>
                <c:pt idx="0">
                  <c:v>RAS</c:v>
                </c:pt>
                <c:pt idx="1">
                  <c:v>AMBLYOPE</c:v>
                </c:pt>
                <c:pt idx="2">
                  <c:v>CHIR REF</c:v>
                </c:pt>
                <c:pt idx="3">
                  <c:v>DGM</c:v>
                </c:pt>
                <c:pt idx="4">
                  <c:v>GLAUCOME</c:v>
                </c:pt>
                <c:pt idx="5">
                  <c:v>GUTTATA</c:v>
                </c:pt>
                <c:pt idx="6">
                  <c:v>KCN</c:v>
                </c:pt>
                <c:pt idx="7">
                  <c:v>MYOPE F</c:v>
                </c:pt>
                <c:pt idx="8">
                  <c:v>PELUCIDE</c:v>
                </c:pt>
                <c:pt idx="9">
                  <c:v>PKP</c:v>
                </c:pt>
                <c:pt idx="10">
                  <c:v>PTOSIS</c:v>
                </c:pt>
                <c:pt idx="11">
                  <c:v>SECHERESSE</c:v>
                </c:pt>
                <c:pt idx="12">
                  <c:v>DASEK</c:v>
                </c:pt>
              </c:strCache>
            </c:strRef>
          </c:cat>
          <c:val>
            <c:numRef>
              <c:f>ANTECEDANT!$B$6:$N$6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D5-8E43-AEFF-8C481C65EDA6}"/>
            </c:ext>
          </c:extLst>
        </c:ser>
        <c:ser>
          <c:idx val="4"/>
          <c:order val="4"/>
          <c:tx>
            <c:strRef>
              <c:f>ANTECEDANT!$A$7</c:f>
              <c:strCache>
                <c:ptCount val="1"/>
                <c:pt idx="0">
                  <c:v> +0,50 à +0,26</c:v>
                </c:pt>
              </c:strCache>
            </c:strRef>
          </c:tx>
          <c:invertIfNegative val="0"/>
          <c:cat>
            <c:strRef>
              <c:f>ANTECEDANT!$B$2:$N$2</c:f>
              <c:strCache>
                <c:ptCount val="13"/>
                <c:pt idx="0">
                  <c:v>RAS</c:v>
                </c:pt>
                <c:pt idx="1">
                  <c:v>AMBLYOPE</c:v>
                </c:pt>
                <c:pt idx="2">
                  <c:v>CHIR REF</c:v>
                </c:pt>
                <c:pt idx="3">
                  <c:v>DGM</c:v>
                </c:pt>
                <c:pt idx="4">
                  <c:v>GLAUCOME</c:v>
                </c:pt>
                <c:pt idx="5">
                  <c:v>GUTTATA</c:v>
                </c:pt>
                <c:pt idx="6">
                  <c:v>KCN</c:v>
                </c:pt>
                <c:pt idx="7">
                  <c:v>MYOPE F</c:v>
                </c:pt>
                <c:pt idx="8">
                  <c:v>PELUCIDE</c:v>
                </c:pt>
                <c:pt idx="9">
                  <c:v>PKP</c:v>
                </c:pt>
                <c:pt idx="10">
                  <c:v>PTOSIS</c:v>
                </c:pt>
                <c:pt idx="11">
                  <c:v>SECHERESSE</c:v>
                </c:pt>
                <c:pt idx="12">
                  <c:v>DASEK</c:v>
                </c:pt>
              </c:strCache>
            </c:strRef>
          </c:cat>
          <c:val>
            <c:numRef>
              <c:f>ANTECEDANT!$B$7:$N$7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D5-8E43-AEFF-8C481C65EDA6}"/>
            </c:ext>
          </c:extLst>
        </c:ser>
        <c:ser>
          <c:idx val="5"/>
          <c:order val="5"/>
          <c:tx>
            <c:strRef>
              <c:f>ANTECEDANT!$A$8</c:f>
              <c:strCache>
                <c:ptCount val="1"/>
                <c:pt idx="0">
                  <c:v> +0,25 à -0,25</c:v>
                </c:pt>
              </c:strCache>
            </c:strRef>
          </c:tx>
          <c:invertIfNegative val="0"/>
          <c:cat>
            <c:strRef>
              <c:f>ANTECEDANT!$B$2:$N$2</c:f>
              <c:strCache>
                <c:ptCount val="13"/>
                <c:pt idx="0">
                  <c:v>RAS</c:v>
                </c:pt>
                <c:pt idx="1">
                  <c:v>AMBLYOPE</c:v>
                </c:pt>
                <c:pt idx="2">
                  <c:v>CHIR REF</c:v>
                </c:pt>
                <c:pt idx="3">
                  <c:v>DGM</c:v>
                </c:pt>
                <c:pt idx="4">
                  <c:v>GLAUCOME</c:v>
                </c:pt>
                <c:pt idx="5">
                  <c:v>GUTTATA</c:v>
                </c:pt>
                <c:pt idx="6">
                  <c:v>KCN</c:v>
                </c:pt>
                <c:pt idx="7">
                  <c:v>MYOPE F</c:v>
                </c:pt>
                <c:pt idx="8">
                  <c:v>PELUCIDE</c:v>
                </c:pt>
                <c:pt idx="9">
                  <c:v>PKP</c:v>
                </c:pt>
                <c:pt idx="10">
                  <c:v>PTOSIS</c:v>
                </c:pt>
                <c:pt idx="11">
                  <c:v>SECHERESSE</c:v>
                </c:pt>
                <c:pt idx="12">
                  <c:v>DASEK</c:v>
                </c:pt>
              </c:strCache>
            </c:strRef>
          </c:cat>
          <c:val>
            <c:numRef>
              <c:f>ANTECEDANT!$B$8:$N$8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D5-8E43-AEFF-8C481C65EDA6}"/>
            </c:ext>
          </c:extLst>
        </c:ser>
        <c:ser>
          <c:idx val="6"/>
          <c:order val="6"/>
          <c:tx>
            <c:strRef>
              <c:f>ANTECEDANT!$A$9</c:f>
              <c:strCache>
                <c:ptCount val="1"/>
                <c:pt idx="0">
                  <c:v> -0,26 à -0,50</c:v>
                </c:pt>
              </c:strCache>
            </c:strRef>
          </c:tx>
          <c:invertIfNegative val="0"/>
          <c:cat>
            <c:strRef>
              <c:f>ANTECEDANT!$B$2:$N$2</c:f>
              <c:strCache>
                <c:ptCount val="13"/>
                <c:pt idx="0">
                  <c:v>RAS</c:v>
                </c:pt>
                <c:pt idx="1">
                  <c:v>AMBLYOPE</c:v>
                </c:pt>
                <c:pt idx="2">
                  <c:v>CHIR REF</c:v>
                </c:pt>
                <c:pt idx="3">
                  <c:v>DGM</c:v>
                </c:pt>
                <c:pt idx="4">
                  <c:v>GLAUCOME</c:v>
                </c:pt>
                <c:pt idx="5">
                  <c:v>GUTTATA</c:v>
                </c:pt>
                <c:pt idx="6">
                  <c:v>KCN</c:v>
                </c:pt>
                <c:pt idx="7">
                  <c:v>MYOPE F</c:v>
                </c:pt>
                <c:pt idx="8">
                  <c:v>PELUCIDE</c:v>
                </c:pt>
                <c:pt idx="9">
                  <c:v>PKP</c:v>
                </c:pt>
                <c:pt idx="10">
                  <c:v>PTOSIS</c:v>
                </c:pt>
                <c:pt idx="11">
                  <c:v>SECHERESSE</c:v>
                </c:pt>
                <c:pt idx="12">
                  <c:v>DASEK</c:v>
                </c:pt>
              </c:strCache>
            </c:strRef>
          </c:cat>
          <c:val>
            <c:numRef>
              <c:f>ANTECEDANT!$B$9:$N$9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D5-8E43-AEFF-8C481C65EDA6}"/>
            </c:ext>
          </c:extLst>
        </c:ser>
        <c:ser>
          <c:idx val="7"/>
          <c:order val="7"/>
          <c:tx>
            <c:strRef>
              <c:f>ANTECEDANT!$A$10</c:f>
              <c:strCache>
                <c:ptCount val="1"/>
                <c:pt idx="0">
                  <c:v> -0,51 à -0,75</c:v>
                </c:pt>
              </c:strCache>
            </c:strRef>
          </c:tx>
          <c:invertIfNegative val="0"/>
          <c:cat>
            <c:strRef>
              <c:f>ANTECEDANT!$B$2:$N$2</c:f>
              <c:strCache>
                <c:ptCount val="13"/>
                <c:pt idx="0">
                  <c:v>RAS</c:v>
                </c:pt>
                <c:pt idx="1">
                  <c:v>AMBLYOPE</c:v>
                </c:pt>
                <c:pt idx="2">
                  <c:v>CHIR REF</c:v>
                </c:pt>
                <c:pt idx="3">
                  <c:v>DGM</c:v>
                </c:pt>
                <c:pt idx="4">
                  <c:v>GLAUCOME</c:v>
                </c:pt>
                <c:pt idx="5">
                  <c:v>GUTTATA</c:v>
                </c:pt>
                <c:pt idx="6">
                  <c:v>KCN</c:v>
                </c:pt>
                <c:pt idx="7">
                  <c:v>MYOPE F</c:v>
                </c:pt>
                <c:pt idx="8">
                  <c:v>PELUCIDE</c:v>
                </c:pt>
                <c:pt idx="9">
                  <c:v>PKP</c:v>
                </c:pt>
                <c:pt idx="10">
                  <c:v>PTOSIS</c:v>
                </c:pt>
                <c:pt idx="11">
                  <c:v>SECHERESSE</c:v>
                </c:pt>
                <c:pt idx="12">
                  <c:v>DASEK</c:v>
                </c:pt>
              </c:strCache>
            </c:strRef>
          </c:cat>
          <c:val>
            <c:numRef>
              <c:f>ANTECEDANT!$B$10:$N$10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1D5-8E43-AEFF-8C481C65EDA6}"/>
            </c:ext>
          </c:extLst>
        </c:ser>
        <c:ser>
          <c:idx val="8"/>
          <c:order val="8"/>
          <c:tx>
            <c:strRef>
              <c:f>ANTECEDANT!$A$11</c:f>
              <c:strCache>
                <c:ptCount val="1"/>
                <c:pt idx="0">
                  <c:v> -0,76 -1,0</c:v>
                </c:pt>
              </c:strCache>
            </c:strRef>
          </c:tx>
          <c:invertIfNegative val="0"/>
          <c:cat>
            <c:strRef>
              <c:f>ANTECEDANT!$B$2:$N$2</c:f>
              <c:strCache>
                <c:ptCount val="13"/>
                <c:pt idx="0">
                  <c:v>RAS</c:v>
                </c:pt>
                <c:pt idx="1">
                  <c:v>AMBLYOPE</c:v>
                </c:pt>
                <c:pt idx="2">
                  <c:v>CHIR REF</c:v>
                </c:pt>
                <c:pt idx="3">
                  <c:v>DGM</c:v>
                </c:pt>
                <c:pt idx="4">
                  <c:v>GLAUCOME</c:v>
                </c:pt>
                <c:pt idx="5">
                  <c:v>GUTTATA</c:v>
                </c:pt>
                <c:pt idx="6">
                  <c:v>KCN</c:v>
                </c:pt>
                <c:pt idx="7">
                  <c:v>MYOPE F</c:v>
                </c:pt>
                <c:pt idx="8">
                  <c:v>PELUCIDE</c:v>
                </c:pt>
                <c:pt idx="9">
                  <c:v>PKP</c:v>
                </c:pt>
                <c:pt idx="10">
                  <c:v>PTOSIS</c:v>
                </c:pt>
                <c:pt idx="11">
                  <c:v>SECHERESSE</c:v>
                </c:pt>
                <c:pt idx="12">
                  <c:v>DASEK</c:v>
                </c:pt>
              </c:strCache>
            </c:strRef>
          </c:cat>
          <c:val>
            <c:numRef>
              <c:f>ANTECEDANT!$B$11:$N$11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1D5-8E43-AEFF-8C481C65EDA6}"/>
            </c:ext>
          </c:extLst>
        </c:ser>
        <c:ser>
          <c:idx val="9"/>
          <c:order val="9"/>
          <c:tx>
            <c:strRef>
              <c:f>ANTECEDANT!$A$12</c:f>
              <c:strCache>
                <c:ptCount val="1"/>
                <c:pt idx="0">
                  <c:v>&gt; -1,0</c:v>
                </c:pt>
              </c:strCache>
            </c:strRef>
          </c:tx>
          <c:invertIfNegative val="0"/>
          <c:cat>
            <c:strRef>
              <c:f>ANTECEDANT!$B$2:$N$2</c:f>
              <c:strCache>
                <c:ptCount val="13"/>
                <c:pt idx="0">
                  <c:v>RAS</c:v>
                </c:pt>
                <c:pt idx="1">
                  <c:v>AMBLYOPE</c:v>
                </c:pt>
                <c:pt idx="2">
                  <c:v>CHIR REF</c:v>
                </c:pt>
                <c:pt idx="3">
                  <c:v>DGM</c:v>
                </c:pt>
                <c:pt idx="4">
                  <c:v>GLAUCOME</c:v>
                </c:pt>
                <c:pt idx="5">
                  <c:v>GUTTATA</c:v>
                </c:pt>
                <c:pt idx="6">
                  <c:v>KCN</c:v>
                </c:pt>
                <c:pt idx="7">
                  <c:v>MYOPE F</c:v>
                </c:pt>
                <c:pt idx="8">
                  <c:v>PELUCIDE</c:v>
                </c:pt>
                <c:pt idx="9">
                  <c:v>PKP</c:v>
                </c:pt>
                <c:pt idx="10">
                  <c:v>PTOSIS</c:v>
                </c:pt>
                <c:pt idx="11">
                  <c:v>SECHERESSE</c:v>
                </c:pt>
                <c:pt idx="12">
                  <c:v>DASEK</c:v>
                </c:pt>
              </c:strCache>
            </c:strRef>
          </c:cat>
          <c:val>
            <c:numRef>
              <c:f>ANTECEDANT!$B$12:$N$12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1D5-8E43-AEFF-8C481C65E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6649088"/>
        <c:axId val="236720512"/>
        <c:axId val="0"/>
      </c:bar3DChart>
      <c:catAx>
        <c:axId val="2366490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36720512"/>
        <c:crosses val="autoZero"/>
        <c:auto val="1"/>
        <c:lblAlgn val="ctr"/>
        <c:lblOffset val="100"/>
        <c:noMultiLvlLbl val="0"/>
      </c:catAx>
      <c:valAx>
        <c:axId val="23672051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366490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18" Type="http://schemas.openxmlformats.org/officeDocument/2006/relationships/chart" Target="../charts/chart30.xml"/><Relationship Id="rId3" Type="http://schemas.openxmlformats.org/officeDocument/2006/relationships/chart" Target="../charts/chart15.xml"/><Relationship Id="rId21" Type="http://schemas.openxmlformats.org/officeDocument/2006/relationships/chart" Target="../charts/chart33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17" Type="http://schemas.openxmlformats.org/officeDocument/2006/relationships/chart" Target="../charts/chart29.xml"/><Relationship Id="rId2" Type="http://schemas.openxmlformats.org/officeDocument/2006/relationships/chart" Target="../charts/chart14.xml"/><Relationship Id="rId16" Type="http://schemas.openxmlformats.org/officeDocument/2006/relationships/chart" Target="../charts/chart28.xml"/><Relationship Id="rId20" Type="http://schemas.openxmlformats.org/officeDocument/2006/relationships/chart" Target="../charts/chart32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5" Type="http://schemas.openxmlformats.org/officeDocument/2006/relationships/chart" Target="../charts/chart27.xml"/><Relationship Id="rId10" Type="http://schemas.openxmlformats.org/officeDocument/2006/relationships/chart" Target="../charts/chart22.xml"/><Relationship Id="rId19" Type="http://schemas.openxmlformats.org/officeDocument/2006/relationships/chart" Target="../charts/chart31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380999</xdr:colOff>
      <xdr:row>10</xdr:row>
      <xdr:rowOff>95250</xdr:rowOff>
    </xdr:from>
    <xdr:to>
      <xdr:col>9</xdr:col>
      <xdr:colOff>504824</xdr:colOff>
      <xdr:row>32</xdr:row>
      <xdr:rowOff>114300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3</xdr:row>
      <xdr:rowOff>0</xdr:rowOff>
    </xdr:from>
    <xdr:to>
      <xdr:col>9</xdr:col>
      <xdr:colOff>819149</xdr:colOff>
      <xdr:row>14</xdr:row>
      <xdr:rowOff>171450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</xdr:colOff>
      <xdr:row>15</xdr:row>
      <xdr:rowOff>9525</xdr:rowOff>
    </xdr:from>
    <xdr:to>
      <xdr:col>9</xdr:col>
      <xdr:colOff>809625</xdr:colOff>
      <xdr:row>27</xdr:row>
      <xdr:rowOff>19050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27</xdr:row>
      <xdr:rowOff>28575</xdr:rowOff>
    </xdr:from>
    <xdr:to>
      <xdr:col>9</xdr:col>
      <xdr:colOff>819150</xdr:colOff>
      <xdr:row>38</xdr:row>
      <xdr:rowOff>180975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9525</xdr:colOff>
      <xdr:row>39</xdr:row>
      <xdr:rowOff>0</xdr:rowOff>
    </xdr:from>
    <xdr:to>
      <xdr:col>10</xdr:col>
      <xdr:colOff>0</xdr:colOff>
      <xdr:row>50</xdr:row>
      <xdr:rowOff>190500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9524</xdr:colOff>
      <xdr:row>51</xdr:row>
      <xdr:rowOff>9525</xdr:rowOff>
    </xdr:from>
    <xdr:to>
      <xdr:col>10</xdr:col>
      <xdr:colOff>9524</xdr:colOff>
      <xdr:row>63</xdr:row>
      <xdr:rowOff>19050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9524</xdr:colOff>
      <xdr:row>63</xdr:row>
      <xdr:rowOff>19051</xdr:rowOff>
    </xdr:from>
    <xdr:to>
      <xdr:col>10</xdr:col>
      <xdr:colOff>19050</xdr:colOff>
      <xdr:row>75</xdr:row>
      <xdr:rowOff>1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9524</xdr:colOff>
      <xdr:row>75</xdr:row>
      <xdr:rowOff>9525</xdr:rowOff>
    </xdr:from>
    <xdr:to>
      <xdr:col>9</xdr:col>
      <xdr:colOff>809625</xdr:colOff>
      <xdr:row>87</xdr:row>
      <xdr:rowOff>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0</xdr:colOff>
      <xdr:row>87</xdr:row>
      <xdr:rowOff>9525</xdr:rowOff>
    </xdr:from>
    <xdr:to>
      <xdr:col>9</xdr:col>
      <xdr:colOff>819150</xdr:colOff>
      <xdr:row>99</xdr:row>
      <xdr:rowOff>19050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819149</xdr:colOff>
      <xdr:row>99</xdr:row>
      <xdr:rowOff>9525</xdr:rowOff>
    </xdr:from>
    <xdr:to>
      <xdr:col>9</xdr:col>
      <xdr:colOff>809624</xdr:colOff>
      <xdr:row>111</xdr:row>
      <xdr:rowOff>9525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819149</xdr:colOff>
      <xdr:row>110</xdr:row>
      <xdr:rowOff>190500</xdr:rowOff>
    </xdr:from>
    <xdr:to>
      <xdr:col>10</xdr:col>
      <xdr:colOff>19049</xdr:colOff>
      <xdr:row>123</xdr:row>
      <xdr:rowOff>38100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9525</xdr:colOff>
      <xdr:row>11</xdr:row>
      <xdr:rowOff>28575</xdr:rowOff>
    </xdr:from>
    <xdr:to>
      <xdr:col>24</xdr:col>
      <xdr:colOff>323850</xdr:colOff>
      <xdr:row>42</xdr:row>
      <xdr:rowOff>85724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11205</xdr:colOff>
      <xdr:row>12</xdr:row>
      <xdr:rowOff>44823</xdr:rowOff>
    </xdr:from>
    <xdr:to>
      <xdr:col>7</xdr:col>
      <xdr:colOff>728382</xdr:colOff>
      <xdr:row>28</xdr:row>
      <xdr:rowOff>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717175</xdr:colOff>
      <xdr:row>12</xdr:row>
      <xdr:rowOff>44825</xdr:rowOff>
    </xdr:from>
    <xdr:to>
      <xdr:col>14</xdr:col>
      <xdr:colOff>717175</xdr:colOff>
      <xdr:row>27</xdr:row>
      <xdr:rowOff>168089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761999</xdr:colOff>
      <xdr:row>12</xdr:row>
      <xdr:rowOff>11207</xdr:rowOff>
    </xdr:from>
    <xdr:to>
      <xdr:col>22</xdr:col>
      <xdr:colOff>22411</xdr:colOff>
      <xdr:row>27</xdr:row>
      <xdr:rowOff>145677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761999</xdr:colOff>
      <xdr:row>12</xdr:row>
      <xdr:rowOff>1</xdr:rowOff>
    </xdr:from>
    <xdr:to>
      <xdr:col>29</xdr:col>
      <xdr:colOff>44824</xdr:colOff>
      <xdr:row>27</xdr:row>
      <xdr:rowOff>179294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22412</xdr:colOff>
      <xdr:row>12</xdr:row>
      <xdr:rowOff>11207</xdr:rowOff>
    </xdr:from>
    <xdr:to>
      <xdr:col>36</xdr:col>
      <xdr:colOff>22413</xdr:colOff>
      <xdr:row>28</xdr:row>
      <xdr:rowOff>1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35</xdr:col>
      <xdr:colOff>750793</xdr:colOff>
      <xdr:row>12</xdr:row>
      <xdr:rowOff>33619</xdr:rowOff>
    </xdr:from>
    <xdr:to>
      <xdr:col>43</xdr:col>
      <xdr:colOff>11205</xdr:colOff>
      <xdr:row>27</xdr:row>
      <xdr:rowOff>145677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43</xdr:col>
      <xdr:colOff>11206</xdr:colOff>
      <xdr:row>12</xdr:row>
      <xdr:rowOff>33619</xdr:rowOff>
    </xdr:from>
    <xdr:to>
      <xdr:col>52</xdr:col>
      <xdr:colOff>0</xdr:colOff>
      <xdr:row>28</xdr:row>
      <xdr:rowOff>11206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853327</xdr:colOff>
      <xdr:row>40</xdr:row>
      <xdr:rowOff>67235</xdr:rowOff>
    </xdr:from>
    <xdr:to>
      <xdr:col>8</xdr:col>
      <xdr:colOff>33617</xdr:colOff>
      <xdr:row>55</xdr:row>
      <xdr:rowOff>89647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22412</xdr:colOff>
      <xdr:row>40</xdr:row>
      <xdr:rowOff>78440</xdr:rowOff>
    </xdr:from>
    <xdr:to>
      <xdr:col>14</xdr:col>
      <xdr:colOff>750794</xdr:colOff>
      <xdr:row>55</xdr:row>
      <xdr:rowOff>112059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761999</xdr:colOff>
      <xdr:row>40</xdr:row>
      <xdr:rowOff>89647</xdr:rowOff>
    </xdr:from>
    <xdr:to>
      <xdr:col>21</xdr:col>
      <xdr:colOff>761999</xdr:colOff>
      <xdr:row>55</xdr:row>
      <xdr:rowOff>89647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21</xdr:col>
      <xdr:colOff>750793</xdr:colOff>
      <xdr:row>40</xdr:row>
      <xdr:rowOff>56030</xdr:rowOff>
    </xdr:from>
    <xdr:to>
      <xdr:col>28</xdr:col>
      <xdr:colOff>672353</xdr:colOff>
      <xdr:row>55</xdr:row>
      <xdr:rowOff>112059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28</xdr:col>
      <xdr:colOff>672352</xdr:colOff>
      <xdr:row>40</xdr:row>
      <xdr:rowOff>56029</xdr:rowOff>
    </xdr:from>
    <xdr:to>
      <xdr:col>35</xdr:col>
      <xdr:colOff>717175</xdr:colOff>
      <xdr:row>55</xdr:row>
      <xdr:rowOff>33618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35</xdr:col>
      <xdr:colOff>728381</xdr:colOff>
      <xdr:row>40</xdr:row>
      <xdr:rowOff>33619</xdr:rowOff>
    </xdr:from>
    <xdr:to>
      <xdr:col>42</xdr:col>
      <xdr:colOff>683559</xdr:colOff>
      <xdr:row>55</xdr:row>
      <xdr:rowOff>89648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43</xdr:col>
      <xdr:colOff>22410</xdr:colOff>
      <xdr:row>40</xdr:row>
      <xdr:rowOff>11205</xdr:rowOff>
    </xdr:from>
    <xdr:to>
      <xdr:col>52</xdr:col>
      <xdr:colOff>0</xdr:colOff>
      <xdr:row>55</xdr:row>
      <xdr:rowOff>0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829234</xdr:colOff>
      <xdr:row>67</xdr:row>
      <xdr:rowOff>22411</xdr:rowOff>
    </xdr:from>
    <xdr:to>
      <xdr:col>7</xdr:col>
      <xdr:colOff>739587</xdr:colOff>
      <xdr:row>82</xdr:row>
      <xdr:rowOff>56030</xdr:rowOff>
    </xdr:to>
    <xdr:graphicFrame macro="">
      <xdr:nvGraphicFramePr>
        <xdr:cNvPr id="20" name="Graphiqu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</xdr:col>
      <xdr:colOff>750792</xdr:colOff>
      <xdr:row>67</xdr:row>
      <xdr:rowOff>44823</xdr:rowOff>
    </xdr:from>
    <xdr:to>
      <xdr:col>15</xdr:col>
      <xdr:colOff>44823</xdr:colOff>
      <xdr:row>82</xdr:row>
      <xdr:rowOff>67236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15</xdr:col>
      <xdr:colOff>22411</xdr:colOff>
      <xdr:row>67</xdr:row>
      <xdr:rowOff>22412</xdr:rowOff>
    </xdr:from>
    <xdr:to>
      <xdr:col>21</xdr:col>
      <xdr:colOff>739588</xdr:colOff>
      <xdr:row>82</xdr:row>
      <xdr:rowOff>112059</xdr:rowOff>
    </xdr:to>
    <xdr:graphicFrame macro="">
      <xdr:nvGraphicFramePr>
        <xdr:cNvPr id="22" name="Graphiqu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21</xdr:col>
      <xdr:colOff>728381</xdr:colOff>
      <xdr:row>67</xdr:row>
      <xdr:rowOff>22412</xdr:rowOff>
    </xdr:from>
    <xdr:to>
      <xdr:col>28</xdr:col>
      <xdr:colOff>672353</xdr:colOff>
      <xdr:row>82</xdr:row>
      <xdr:rowOff>134472</xdr:rowOff>
    </xdr:to>
    <xdr:graphicFrame macro="">
      <xdr:nvGraphicFramePr>
        <xdr:cNvPr id="23" name="Graphique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29</xdr:col>
      <xdr:colOff>11205</xdr:colOff>
      <xdr:row>67</xdr:row>
      <xdr:rowOff>33618</xdr:rowOff>
    </xdr:from>
    <xdr:to>
      <xdr:col>35</xdr:col>
      <xdr:colOff>705969</xdr:colOff>
      <xdr:row>82</xdr:row>
      <xdr:rowOff>168089</xdr:rowOff>
    </xdr:to>
    <xdr:graphicFrame macro="">
      <xdr:nvGraphicFramePr>
        <xdr:cNvPr id="24" name="Graphique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35</xdr:col>
      <xdr:colOff>739588</xdr:colOff>
      <xdr:row>67</xdr:row>
      <xdr:rowOff>0</xdr:rowOff>
    </xdr:from>
    <xdr:to>
      <xdr:col>42</xdr:col>
      <xdr:colOff>672353</xdr:colOff>
      <xdr:row>83</xdr:row>
      <xdr:rowOff>11206</xdr:rowOff>
    </xdr:to>
    <xdr:graphicFrame macro="">
      <xdr:nvGraphicFramePr>
        <xdr:cNvPr id="25" name="Graphique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42</xdr:col>
      <xdr:colOff>739588</xdr:colOff>
      <xdr:row>67</xdr:row>
      <xdr:rowOff>33617</xdr:rowOff>
    </xdr:from>
    <xdr:to>
      <xdr:col>52</xdr:col>
      <xdr:colOff>0</xdr:colOff>
      <xdr:row>82</xdr:row>
      <xdr:rowOff>33618</xdr:rowOff>
    </xdr:to>
    <xdr:graphicFrame macro="">
      <xdr:nvGraphicFramePr>
        <xdr:cNvPr id="26" name="Graphique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95249</xdr:rowOff>
    </xdr:from>
    <xdr:to>
      <xdr:col>22</xdr:col>
      <xdr:colOff>114300</xdr:colOff>
      <xdr:row>39</xdr:row>
      <xdr:rowOff>180974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667"/>
  <sheetViews>
    <sheetView tabSelected="1" zoomScale="90" zoomScaleNormal="90" workbookViewId="0">
      <pane ySplit="1700" activePane="bottomLeft"/>
      <selection activeCell="O2" sqref="O1:V1048576"/>
      <selection pane="bottomLeft" activeCell="Q3" sqref="Q3"/>
    </sheetView>
  </sheetViews>
  <sheetFormatPr baseColWidth="10" defaultColWidth="9.1640625" defaultRowHeight="15" x14ac:dyDescent="0.2"/>
  <cols>
    <col min="1" max="1" width="9.6640625" style="34" bestFit="1" customWidth="1"/>
    <col min="2" max="3" width="9.1640625" style="30"/>
    <col min="4" max="4" width="11.33203125" style="38" customWidth="1"/>
    <col min="5" max="5" width="6" style="55" customWidth="1"/>
    <col min="6" max="7" width="6" style="56" customWidth="1"/>
    <col min="8" max="8" width="6.6640625" style="58" customWidth="1"/>
    <col min="9" max="9" width="9.1640625" style="58"/>
    <col min="10" max="10" width="6" style="56" customWidth="1"/>
    <col min="11" max="11" width="7.5" style="56" customWidth="1"/>
    <col min="12" max="12" width="6" style="56" customWidth="1"/>
    <col min="13" max="13" width="6" style="75" customWidth="1"/>
    <col min="14" max="14" width="13.5" style="57" customWidth="1"/>
    <col min="15" max="15" width="11.5" style="55" customWidth="1"/>
    <col min="16" max="16" width="10.33203125" style="44" customWidth="1"/>
    <col min="17" max="17" width="10.33203125" style="42" customWidth="1"/>
    <col min="18" max="18" width="9.1640625" style="12"/>
    <col min="19" max="19" width="10.1640625" style="13" customWidth="1"/>
    <col min="20" max="20" width="9.1640625" style="66"/>
    <col min="21" max="21" width="9.1640625" style="80"/>
    <col min="22" max="22" width="9.1640625" style="119"/>
    <col min="23" max="23" width="9.1640625" style="122"/>
    <col min="24" max="24" width="9.1640625" style="125"/>
    <col min="25" max="25" width="9.1640625" style="81"/>
    <col min="26" max="26" width="9.1640625" style="83"/>
    <col min="27" max="27" width="9.1640625" style="131"/>
    <col min="28" max="28" width="9.83203125" style="38" customWidth="1"/>
    <col min="29" max="30" width="9.83203125" style="30" customWidth="1"/>
    <col min="31" max="31" width="9.1640625" style="35"/>
    <col min="32" max="32" width="6.5" style="61" customWidth="1"/>
    <col min="33" max="33" width="7.1640625" style="56" bestFit="1" customWidth="1"/>
    <col min="34" max="34" width="6.5" style="56" customWidth="1"/>
    <col min="35" max="35" width="13.5" style="72" customWidth="1"/>
    <col min="36" max="36" width="9.1640625" style="64"/>
    <col min="37" max="37" width="9.1640625" style="12"/>
    <col min="38" max="38" width="9.1640625" style="15"/>
    <col min="39" max="39" width="9.1640625" style="16"/>
    <col min="40" max="40" width="9.1640625" style="13"/>
    <col min="41" max="41" width="9.1640625" style="17"/>
    <col min="42" max="42" width="9.1640625" style="18"/>
    <col min="43" max="43" width="9.1640625" style="14"/>
    <col min="44" max="44" width="9.1640625" style="19"/>
    <col min="45" max="45" width="9.1640625" style="194"/>
    <col min="46" max="46" width="9.1640625" style="110"/>
    <col min="47" max="47" width="9.1640625" style="195"/>
    <col min="48" max="48" width="9.1640625" style="142"/>
    <col min="49" max="49" width="9.1640625" style="119"/>
    <col min="50" max="50" width="9.1640625" style="143"/>
    <col min="51" max="51" width="9.1640625" style="151"/>
    <col min="52" max="52" width="9.1640625" style="122"/>
    <col min="53" max="53" width="9.1640625" style="152"/>
    <col min="54" max="54" width="9.1640625" style="160"/>
    <col min="55" max="55" width="9.1640625" style="125"/>
    <col min="56" max="56" width="9.1640625" style="161"/>
    <col min="57" max="57" width="9.1640625" style="82"/>
    <col min="58" max="58" width="9.1640625" style="81"/>
    <col min="59" max="59" width="9.1640625" style="169"/>
    <col min="60" max="60" width="9.1640625" style="177"/>
    <col min="61" max="61" width="9.1640625" style="83"/>
    <col min="62" max="62" width="9.1640625" style="178"/>
    <col min="63" max="63" width="9.1640625" style="186"/>
    <col min="64" max="64" width="9.5" style="131" bestFit="1" customWidth="1"/>
    <col min="65" max="65" width="9.1640625" style="187"/>
    <col min="66" max="66" width="9.1640625" style="68"/>
    <col min="67" max="72" width="11.5" style="81" customWidth="1"/>
    <col min="73" max="78" width="9.33203125" style="88" customWidth="1"/>
    <col min="79" max="84" width="10.5" style="91" customWidth="1"/>
    <col min="85" max="89" width="8.83203125" style="93" customWidth="1"/>
    <col min="90" max="93" width="8.83203125" style="95" customWidth="1"/>
    <col min="94" max="94" width="8.83203125" style="91" customWidth="1"/>
    <col min="95" max="95" width="8.5" style="91" customWidth="1"/>
    <col min="96" max="96" width="9.33203125" style="91" customWidth="1"/>
    <col min="97" max="97" width="8.5" style="91" customWidth="1"/>
    <col min="98" max="98" width="8.83203125" style="93" customWidth="1"/>
    <col min="99" max="104" width="8.5" style="93" customWidth="1"/>
    <col min="105" max="105" width="13" style="35" customWidth="1"/>
  </cols>
  <sheetData>
    <row r="1" spans="1:105" s="2" customFormat="1" ht="20" thickBot="1" x14ac:dyDescent="0.3">
      <c r="A1" s="39"/>
      <c r="B1" s="40"/>
      <c r="C1" s="40"/>
      <c r="D1" s="46"/>
      <c r="E1" s="76" t="s">
        <v>11</v>
      </c>
      <c r="F1" s="77"/>
      <c r="G1" s="77"/>
      <c r="H1" s="77"/>
      <c r="I1" s="77"/>
      <c r="J1" s="77"/>
      <c r="K1" s="77"/>
      <c r="L1" s="77"/>
      <c r="M1" s="77"/>
      <c r="N1" s="78"/>
      <c r="O1" s="216" t="s">
        <v>13</v>
      </c>
      <c r="P1" s="217"/>
      <c r="Q1" s="217"/>
      <c r="R1" s="132"/>
      <c r="S1" s="133"/>
      <c r="T1" s="133"/>
      <c r="U1" s="133"/>
      <c r="V1" s="128"/>
      <c r="W1" s="128"/>
      <c r="X1" s="128"/>
      <c r="Y1" s="128"/>
      <c r="Z1" s="128"/>
      <c r="AA1" s="134"/>
      <c r="AB1" s="217" t="s">
        <v>102</v>
      </c>
      <c r="AC1" s="217"/>
      <c r="AD1" s="217"/>
      <c r="AE1" s="217"/>
      <c r="AF1" s="217"/>
      <c r="AG1" s="217"/>
      <c r="AH1" s="217"/>
      <c r="AI1" s="218"/>
      <c r="AJ1" s="99"/>
      <c r="AK1" s="99" t="s">
        <v>22</v>
      </c>
      <c r="AL1" s="100"/>
      <c r="AM1" s="101"/>
      <c r="AN1" s="101" t="s">
        <v>23</v>
      </c>
      <c r="AO1" s="102"/>
      <c r="AP1" s="103"/>
      <c r="AQ1" s="103" t="s">
        <v>26</v>
      </c>
      <c r="AR1" s="104"/>
      <c r="AS1" s="188"/>
      <c r="AT1" s="188" t="s">
        <v>83</v>
      </c>
      <c r="AU1" s="189"/>
      <c r="AV1" s="135"/>
      <c r="AW1" s="135" t="s">
        <v>75</v>
      </c>
      <c r="AX1" s="136"/>
      <c r="AY1" s="144"/>
      <c r="AZ1" s="144" t="s">
        <v>76</v>
      </c>
      <c r="BA1" s="145"/>
      <c r="BB1" s="153"/>
      <c r="BC1" s="153" t="s">
        <v>77</v>
      </c>
      <c r="BD1" s="154"/>
      <c r="BE1" s="162"/>
      <c r="BF1" s="162" t="s">
        <v>78</v>
      </c>
      <c r="BG1" s="163"/>
      <c r="BH1" s="170"/>
      <c r="BI1" s="170" t="s">
        <v>79</v>
      </c>
      <c r="BJ1" s="171"/>
      <c r="BK1" s="179"/>
      <c r="BL1" s="179" t="s">
        <v>80</v>
      </c>
      <c r="BM1" s="180"/>
      <c r="BN1" s="96"/>
      <c r="BO1" s="97"/>
      <c r="BP1" s="97"/>
      <c r="BQ1" s="97"/>
      <c r="BR1" s="97"/>
      <c r="BS1" s="97"/>
      <c r="BT1" s="97"/>
      <c r="BU1" s="97"/>
      <c r="BV1" s="97"/>
      <c r="BW1" s="97"/>
      <c r="BX1" s="97"/>
      <c r="BY1" s="97"/>
      <c r="BZ1" s="97"/>
      <c r="CA1" s="97"/>
      <c r="CB1" s="97"/>
      <c r="CC1" s="97"/>
      <c r="CD1" s="97"/>
      <c r="CE1" s="97"/>
      <c r="CF1" s="97"/>
      <c r="CG1" s="97"/>
      <c r="CH1" s="97"/>
      <c r="CI1" s="97"/>
      <c r="CJ1" s="97"/>
      <c r="CK1" s="97"/>
      <c r="CL1" s="105"/>
      <c r="CM1" s="105"/>
      <c r="CN1" s="105"/>
      <c r="CO1" s="105"/>
      <c r="CP1" s="106"/>
      <c r="CQ1" s="106"/>
      <c r="CR1" s="106"/>
      <c r="CS1" s="106"/>
      <c r="CT1" s="97"/>
      <c r="CU1" s="97"/>
      <c r="CV1" s="97"/>
      <c r="CW1" s="97"/>
      <c r="CX1" s="97"/>
      <c r="CY1" s="97"/>
      <c r="CZ1" s="97"/>
      <c r="DA1" s="98"/>
    </row>
    <row r="2" spans="1:105" s="1" customFormat="1" ht="65" thickBot="1" x14ac:dyDescent="0.25">
      <c r="A2" s="3" t="s">
        <v>0</v>
      </c>
      <c r="B2" s="4" t="s">
        <v>1</v>
      </c>
      <c r="C2" s="4" t="s">
        <v>2</v>
      </c>
      <c r="D2" s="4" t="s">
        <v>29</v>
      </c>
      <c r="E2" s="47" t="s">
        <v>28</v>
      </c>
      <c r="F2" s="48" t="s">
        <v>16</v>
      </c>
      <c r="G2" s="48" t="s">
        <v>27</v>
      </c>
      <c r="H2" s="50" t="s">
        <v>101</v>
      </c>
      <c r="I2" s="50" t="s">
        <v>3</v>
      </c>
      <c r="J2" s="48" t="s">
        <v>17</v>
      </c>
      <c r="K2" s="48" t="s">
        <v>19</v>
      </c>
      <c r="L2" s="48" t="s">
        <v>18</v>
      </c>
      <c r="M2" s="73" t="s">
        <v>39</v>
      </c>
      <c r="N2" s="49" t="s">
        <v>20</v>
      </c>
      <c r="O2" s="47" t="s">
        <v>33</v>
      </c>
      <c r="P2" s="36" t="s">
        <v>160</v>
      </c>
      <c r="Q2" s="36" t="s">
        <v>161</v>
      </c>
      <c r="R2" s="113" t="s">
        <v>12</v>
      </c>
      <c r="S2" s="114" t="s">
        <v>14</v>
      </c>
      <c r="T2" s="115" t="s">
        <v>15</v>
      </c>
      <c r="U2" s="116" t="s">
        <v>43</v>
      </c>
      <c r="V2" s="117" t="s">
        <v>81</v>
      </c>
      <c r="W2" s="120" t="s">
        <v>76</v>
      </c>
      <c r="X2" s="123" t="s">
        <v>77</v>
      </c>
      <c r="Y2" s="84" t="s">
        <v>78</v>
      </c>
      <c r="Z2" s="126" t="s">
        <v>79</v>
      </c>
      <c r="AA2" s="129" t="s">
        <v>82</v>
      </c>
      <c r="AB2" s="109" t="s">
        <v>4</v>
      </c>
      <c r="AC2" s="4" t="s">
        <v>5</v>
      </c>
      <c r="AD2" s="4" t="s">
        <v>6</v>
      </c>
      <c r="AE2" s="9" t="s">
        <v>7</v>
      </c>
      <c r="AF2" s="59" t="s">
        <v>33</v>
      </c>
      <c r="AG2" s="48" t="s">
        <v>21</v>
      </c>
      <c r="AH2" s="48" t="s">
        <v>18</v>
      </c>
      <c r="AI2" s="70" t="s">
        <v>20</v>
      </c>
      <c r="AJ2" s="62" t="s">
        <v>8</v>
      </c>
      <c r="AK2" s="5" t="s">
        <v>9</v>
      </c>
      <c r="AL2" s="8" t="s">
        <v>10</v>
      </c>
      <c r="AM2" s="28" t="s">
        <v>24</v>
      </c>
      <c r="AN2" s="6" t="s">
        <v>9</v>
      </c>
      <c r="AO2" s="10" t="s">
        <v>10</v>
      </c>
      <c r="AP2" s="29" t="s">
        <v>25</v>
      </c>
      <c r="AQ2" s="7" t="s">
        <v>9</v>
      </c>
      <c r="AR2" s="11" t="s">
        <v>10</v>
      </c>
      <c r="AS2" s="190" t="s">
        <v>92</v>
      </c>
      <c r="AT2" s="112" t="s">
        <v>9</v>
      </c>
      <c r="AU2" s="191" t="s">
        <v>10</v>
      </c>
      <c r="AV2" s="137" t="s">
        <v>93</v>
      </c>
      <c r="AW2" s="138" t="s">
        <v>9</v>
      </c>
      <c r="AX2" s="139" t="s">
        <v>10</v>
      </c>
      <c r="AY2" s="146" t="s">
        <v>94</v>
      </c>
      <c r="AZ2" s="147" t="s">
        <v>9</v>
      </c>
      <c r="BA2" s="148" t="s">
        <v>10</v>
      </c>
      <c r="BB2" s="155" t="s">
        <v>95</v>
      </c>
      <c r="BC2" s="156" t="s">
        <v>9</v>
      </c>
      <c r="BD2" s="157" t="s">
        <v>10</v>
      </c>
      <c r="BE2" s="164" t="s">
        <v>96</v>
      </c>
      <c r="BF2" s="165" t="s">
        <v>9</v>
      </c>
      <c r="BG2" s="166" t="s">
        <v>10</v>
      </c>
      <c r="BH2" s="172" t="s">
        <v>97</v>
      </c>
      <c r="BI2" s="173" t="s">
        <v>9</v>
      </c>
      <c r="BJ2" s="174" t="s">
        <v>10</v>
      </c>
      <c r="BK2" s="181" t="s">
        <v>98</v>
      </c>
      <c r="BL2" s="182" t="s">
        <v>9</v>
      </c>
      <c r="BM2" s="183" t="s">
        <v>10</v>
      </c>
      <c r="BN2" s="67" t="s">
        <v>34</v>
      </c>
      <c r="BO2" s="84" t="s">
        <v>40</v>
      </c>
      <c r="BP2" s="84" t="s">
        <v>46</v>
      </c>
      <c r="BQ2" s="84" t="s">
        <v>47</v>
      </c>
      <c r="BR2" s="84" t="s">
        <v>48</v>
      </c>
      <c r="BS2" s="84" t="s">
        <v>49</v>
      </c>
      <c r="BT2" s="84" t="s">
        <v>50</v>
      </c>
      <c r="BU2" s="86" t="s">
        <v>116</v>
      </c>
      <c r="BV2" s="86" t="s">
        <v>120</v>
      </c>
      <c r="BW2" s="86" t="s">
        <v>121</v>
      </c>
      <c r="BX2" s="86" t="s">
        <v>117</v>
      </c>
      <c r="BY2" s="86" t="s">
        <v>118</v>
      </c>
      <c r="BZ2" s="86" t="s">
        <v>119</v>
      </c>
      <c r="CA2" s="89" t="s">
        <v>105</v>
      </c>
      <c r="CB2" s="89" t="s">
        <v>112</v>
      </c>
      <c r="CC2" s="89" t="s">
        <v>113</v>
      </c>
      <c r="CD2" s="89" t="s">
        <v>114</v>
      </c>
      <c r="CE2" s="89" t="s">
        <v>115</v>
      </c>
      <c r="CF2" s="89" t="s">
        <v>106</v>
      </c>
      <c r="CG2" s="92" t="s">
        <v>107</v>
      </c>
      <c r="CH2" s="92" t="s">
        <v>108</v>
      </c>
      <c r="CI2" s="92" t="s">
        <v>109</v>
      </c>
      <c r="CJ2" s="92" t="s">
        <v>110</v>
      </c>
      <c r="CK2" s="92" t="s">
        <v>111</v>
      </c>
      <c r="CL2" s="94" t="s">
        <v>124</v>
      </c>
      <c r="CM2" s="94" t="s">
        <v>125</v>
      </c>
      <c r="CN2" s="94" t="s">
        <v>126</v>
      </c>
      <c r="CO2" s="94" t="s">
        <v>127</v>
      </c>
      <c r="CP2" s="89" t="s">
        <v>128</v>
      </c>
      <c r="CQ2" s="89" t="s">
        <v>129</v>
      </c>
      <c r="CR2" s="89" t="s">
        <v>131</v>
      </c>
      <c r="CS2" s="89" t="s">
        <v>130</v>
      </c>
      <c r="CT2" s="92" t="s">
        <v>52</v>
      </c>
      <c r="CU2" s="92" t="s">
        <v>57</v>
      </c>
      <c r="CV2" s="92" t="s">
        <v>51</v>
      </c>
      <c r="CW2" s="92" t="s">
        <v>53</v>
      </c>
      <c r="CX2" s="92" t="s">
        <v>54</v>
      </c>
      <c r="CY2" s="92" t="s">
        <v>55</v>
      </c>
      <c r="CZ2" s="92" t="s">
        <v>56</v>
      </c>
      <c r="DA2" s="45" t="s">
        <v>38</v>
      </c>
    </row>
    <row r="3" spans="1:105" ht="19" x14ac:dyDescent="0.25">
      <c r="A3" s="32"/>
      <c r="B3" s="31"/>
      <c r="C3" s="31"/>
      <c r="D3" s="37"/>
      <c r="E3" s="51"/>
      <c r="F3" s="52"/>
      <c r="G3" s="52"/>
      <c r="H3" s="54"/>
      <c r="I3" s="54"/>
      <c r="J3" s="52"/>
      <c r="K3" s="52"/>
      <c r="L3" s="52"/>
      <c r="M3" s="74"/>
      <c r="N3" s="53"/>
      <c r="O3" s="51"/>
      <c r="P3" s="43"/>
      <c r="Q3" s="41"/>
      <c r="R3" s="20"/>
      <c r="S3" s="23"/>
      <c r="T3" s="65"/>
      <c r="U3" s="79"/>
      <c r="V3" s="118"/>
      <c r="W3" s="121"/>
      <c r="X3" s="124"/>
      <c r="Y3" s="85"/>
      <c r="Z3" s="127"/>
      <c r="AA3" s="130"/>
      <c r="AB3" s="37"/>
      <c r="AC3" s="31"/>
      <c r="AD3" s="31"/>
      <c r="AE3" s="33"/>
      <c r="AF3" s="60"/>
      <c r="AG3" s="52"/>
      <c r="AH3" s="52"/>
      <c r="AI3" s="71"/>
      <c r="AJ3" s="63"/>
      <c r="AK3" s="20"/>
      <c r="AL3" s="21"/>
      <c r="AM3" s="22"/>
      <c r="AN3" s="23"/>
      <c r="AO3" s="24"/>
      <c r="AP3" s="25"/>
      <c r="AQ3" s="26"/>
      <c r="AR3" s="27"/>
      <c r="AS3" s="192"/>
      <c r="AT3" s="111"/>
      <c r="AU3" s="193"/>
      <c r="AV3" s="140"/>
      <c r="AW3" s="118"/>
      <c r="AX3" s="141"/>
      <c r="AY3" s="149"/>
      <c r="AZ3" s="121"/>
      <c r="BA3" s="150"/>
      <c r="BB3" s="158"/>
      <c r="BC3" s="124"/>
      <c r="BD3" s="159"/>
      <c r="BE3" s="167"/>
      <c r="BF3" s="85"/>
      <c r="BG3" s="168"/>
      <c r="BH3" s="175"/>
      <c r="BI3" s="127"/>
      <c r="BJ3" s="176"/>
      <c r="BK3" s="184"/>
      <c r="BL3" s="130"/>
      <c r="BM3" s="185"/>
      <c r="BN3" s="69"/>
      <c r="BO3" s="85"/>
      <c r="BP3" s="85"/>
      <c r="BQ3" s="85"/>
      <c r="BR3" s="85"/>
      <c r="BS3" s="85"/>
      <c r="BT3" s="85"/>
      <c r="BU3" s="87"/>
      <c r="BV3" s="87"/>
      <c r="BW3" s="87"/>
      <c r="BX3" s="87"/>
      <c r="BY3" s="87"/>
      <c r="BZ3" s="87"/>
      <c r="CA3" s="90"/>
      <c r="CB3" s="90"/>
      <c r="CC3" s="90"/>
      <c r="CD3" s="90"/>
      <c r="CE3" s="90"/>
      <c r="CF3" s="90"/>
      <c r="CG3" s="85"/>
      <c r="CH3" s="85"/>
      <c r="CI3" s="85"/>
      <c r="CJ3" s="85"/>
      <c r="CK3" s="85"/>
      <c r="CL3" s="87"/>
      <c r="CM3" s="87"/>
      <c r="CN3" s="87"/>
      <c r="CO3" s="87"/>
      <c r="CP3" s="90"/>
      <c r="CQ3" s="90"/>
      <c r="CR3" s="90"/>
      <c r="CS3" s="90"/>
      <c r="CT3" s="85"/>
      <c r="CU3" s="85"/>
      <c r="CV3" s="85"/>
      <c r="CW3" s="85"/>
      <c r="CX3" s="85"/>
      <c r="CY3" s="85"/>
      <c r="CZ3" s="85"/>
      <c r="DA3" s="33"/>
    </row>
    <row r="4" spans="1:105" ht="19" x14ac:dyDescent="0.25">
      <c r="M4" s="74"/>
      <c r="U4" s="79"/>
      <c r="V4" s="118"/>
      <c r="W4" s="121"/>
      <c r="X4" s="124"/>
      <c r="Y4" s="85"/>
      <c r="Z4" s="127"/>
      <c r="AA4" s="130"/>
      <c r="AE4" s="33"/>
      <c r="AF4" s="60"/>
      <c r="AI4" s="71"/>
      <c r="AJ4" s="63"/>
      <c r="AK4" s="20"/>
      <c r="AL4" s="21"/>
      <c r="AM4" s="22"/>
      <c r="AN4" s="23"/>
      <c r="AO4" s="24"/>
      <c r="AP4" s="25"/>
      <c r="AQ4" s="26"/>
      <c r="AR4" s="27"/>
      <c r="AS4" s="192"/>
      <c r="AT4" s="111"/>
      <c r="AU4" s="193"/>
      <c r="AV4" s="140"/>
      <c r="AW4" s="118"/>
      <c r="AX4" s="141"/>
      <c r="AY4" s="149"/>
      <c r="AZ4" s="121"/>
      <c r="BA4" s="150"/>
      <c r="BB4" s="158"/>
      <c r="BC4" s="124"/>
      <c r="BD4" s="159"/>
      <c r="BE4" s="167"/>
      <c r="BF4" s="85"/>
      <c r="BG4" s="168"/>
      <c r="BH4" s="175"/>
      <c r="BI4" s="127"/>
      <c r="BJ4" s="176"/>
      <c r="BK4" s="184"/>
      <c r="BL4" s="130"/>
      <c r="BM4" s="185"/>
      <c r="BN4" s="69"/>
      <c r="BO4" s="85"/>
      <c r="BP4" s="85"/>
      <c r="BQ4" s="85"/>
      <c r="BR4" s="85"/>
      <c r="BS4" s="85"/>
      <c r="BT4" s="85"/>
      <c r="BU4" s="87"/>
      <c r="BV4" s="87"/>
      <c r="BW4" s="87"/>
      <c r="BX4" s="87"/>
      <c r="BY4" s="87"/>
      <c r="BZ4" s="87"/>
      <c r="CA4" s="90"/>
      <c r="CB4" s="90"/>
      <c r="CC4" s="90"/>
      <c r="CD4" s="90"/>
      <c r="CE4" s="90"/>
      <c r="CF4" s="90"/>
      <c r="CG4" s="85"/>
      <c r="CH4" s="85"/>
      <c r="CI4" s="85"/>
      <c r="CJ4" s="85"/>
      <c r="CK4" s="85"/>
      <c r="CL4" s="87"/>
      <c r="CM4" s="87"/>
      <c r="CN4" s="87"/>
      <c r="CO4" s="87"/>
      <c r="CP4" s="90"/>
      <c r="CQ4" s="90"/>
      <c r="CR4" s="90"/>
      <c r="CS4" s="90"/>
      <c r="CT4" s="85"/>
      <c r="CU4" s="85"/>
      <c r="CV4" s="85"/>
      <c r="CW4" s="85"/>
      <c r="CX4" s="85"/>
      <c r="CY4" s="85"/>
      <c r="CZ4" s="85"/>
      <c r="DA4" s="33"/>
    </row>
    <row r="5" spans="1:105" ht="19" x14ac:dyDescent="0.25">
      <c r="M5" s="74"/>
      <c r="U5" s="79"/>
      <c r="V5" s="118"/>
      <c r="W5" s="121"/>
      <c r="X5" s="124"/>
      <c r="Y5" s="85"/>
      <c r="Z5" s="127"/>
      <c r="AA5" s="130"/>
      <c r="AE5" s="33"/>
      <c r="AF5" s="60"/>
      <c r="AI5" s="71"/>
      <c r="AJ5" s="63"/>
      <c r="AK5" s="20"/>
      <c r="AL5" s="21"/>
      <c r="AM5" s="22"/>
      <c r="AN5" s="23"/>
      <c r="AO5" s="24"/>
      <c r="AP5" s="25"/>
      <c r="AQ5" s="26"/>
      <c r="AR5" s="27"/>
      <c r="AS5" s="192"/>
      <c r="AT5" s="111"/>
      <c r="AU5" s="193"/>
      <c r="AV5" s="140"/>
      <c r="AW5" s="118"/>
      <c r="AX5" s="141"/>
      <c r="AY5" s="149"/>
      <c r="AZ5" s="121"/>
      <c r="BA5" s="150"/>
      <c r="BB5" s="158"/>
      <c r="BC5" s="124"/>
      <c r="BD5" s="159"/>
      <c r="BE5" s="167"/>
      <c r="BF5" s="85"/>
      <c r="BG5" s="168"/>
      <c r="BH5" s="175"/>
      <c r="BI5" s="127"/>
      <c r="BJ5" s="176"/>
      <c r="BK5" s="184"/>
      <c r="BL5" s="130"/>
      <c r="BM5" s="185"/>
      <c r="BN5" s="69"/>
      <c r="BO5" s="85"/>
      <c r="BP5" s="85"/>
      <c r="BQ5" s="85"/>
      <c r="BR5" s="85"/>
      <c r="BS5" s="85"/>
      <c r="BT5" s="85"/>
      <c r="BU5" s="87"/>
      <c r="BV5" s="87"/>
      <c r="BW5" s="87"/>
      <c r="BX5" s="87"/>
      <c r="BY5" s="87"/>
      <c r="BZ5" s="87"/>
      <c r="CA5" s="90"/>
      <c r="CB5" s="90"/>
      <c r="CC5" s="90"/>
      <c r="CD5" s="90"/>
      <c r="CE5" s="90"/>
      <c r="CF5" s="90"/>
      <c r="CG5" s="85"/>
      <c r="CH5" s="85"/>
      <c r="CI5" s="85"/>
      <c r="CJ5" s="85"/>
      <c r="CK5" s="85"/>
      <c r="CL5" s="87"/>
      <c r="CM5" s="87"/>
      <c r="CN5" s="87"/>
      <c r="CO5" s="87"/>
      <c r="CP5" s="90"/>
      <c r="CQ5" s="90"/>
      <c r="CR5" s="90"/>
      <c r="CS5" s="90"/>
      <c r="CT5" s="85"/>
      <c r="CU5" s="85"/>
      <c r="CV5" s="85"/>
      <c r="CW5" s="85"/>
      <c r="CX5" s="85"/>
      <c r="CY5" s="85"/>
      <c r="CZ5" s="85"/>
      <c r="DA5" s="33"/>
    </row>
    <row r="6" spans="1:105" ht="19" x14ac:dyDescent="0.25">
      <c r="M6" s="74"/>
      <c r="U6" s="79"/>
      <c r="V6" s="118"/>
      <c r="W6" s="121"/>
      <c r="X6" s="124"/>
      <c r="Y6" s="85"/>
      <c r="Z6" s="127"/>
      <c r="AA6" s="130"/>
      <c r="AE6" s="33"/>
      <c r="AF6" s="60"/>
      <c r="AI6" s="71"/>
      <c r="AJ6" s="63"/>
      <c r="AK6" s="20"/>
      <c r="AL6" s="21"/>
      <c r="AM6" s="22"/>
      <c r="AN6" s="23"/>
      <c r="AO6" s="24"/>
      <c r="AP6" s="25"/>
      <c r="AQ6" s="26"/>
      <c r="AR6" s="27"/>
      <c r="AS6" s="192"/>
      <c r="AT6" s="111"/>
      <c r="AU6" s="193"/>
      <c r="AV6" s="140"/>
      <c r="AW6" s="118"/>
      <c r="AX6" s="141"/>
      <c r="AY6" s="149"/>
      <c r="AZ6" s="121"/>
      <c r="BA6" s="150"/>
      <c r="BB6" s="158"/>
      <c r="BC6" s="124"/>
      <c r="BD6" s="159"/>
      <c r="BE6" s="167"/>
      <c r="BF6" s="85"/>
      <c r="BG6" s="168"/>
      <c r="BH6" s="175"/>
      <c r="BI6" s="127"/>
      <c r="BJ6" s="176"/>
      <c r="BK6" s="184"/>
      <c r="BL6" s="130"/>
      <c r="BM6" s="185"/>
      <c r="BN6" s="69"/>
      <c r="BO6" s="85"/>
      <c r="BP6" s="85"/>
      <c r="BQ6" s="85"/>
      <c r="BR6" s="85"/>
      <c r="BS6" s="85"/>
      <c r="BT6" s="85"/>
      <c r="BU6" s="87"/>
      <c r="BV6" s="87"/>
      <c r="BW6" s="87"/>
      <c r="BX6" s="87"/>
      <c r="BY6" s="87"/>
      <c r="BZ6" s="87"/>
      <c r="CA6" s="90"/>
      <c r="CB6" s="90"/>
      <c r="CC6" s="90"/>
      <c r="CD6" s="90"/>
      <c r="CE6" s="90"/>
      <c r="CF6" s="90"/>
      <c r="CG6" s="85"/>
      <c r="CH6" s="85"/>
      <c r="CI6" s="85"/>
      <c r="CJ6" s="85"/>
      <c r="CK6" s="85"/>
      <c r="CL6" s="87"/>
      <c r="CM6" s="87"/>
      <c r="CN6" s="87"/>
      <c r="CO6" s="87"/>
      <c r="CP6" s="90"/>
      <c r="CQ6" s="90"/>
      <c r="CR6" s="90"/>
      <c r="CS6" s="90"/>
      <c r="CT6" s="85"/>
      <c r="CU6" s="85"/>
      <c r="CV6" s="85"/>
      <c r="CW6" s="85"/>
      <c r="CX6" s="85"/>
      <c r="CY6" s="85"/>
      <c r="CZ6" s="85"/>
      <c r="DA6" s="33"/>
    </row>
    <row r="7" spans="1:105" ht="19" x14ac:dyDescent="0.25">
      <c r="M7" s="74"/>
      <c r="U7" s="79"/>
      <c r="V7" s="118"/>
      <c r="W7" s="121"/>
      <c r="X7" s="124"/>
      <c r="Y7" s="85"/>
      <c r="Z7" s="127"/>
      <c r="AA7" s="130"/>
      <c r="AE7" s="33"/>
      <c r="AI7" s="71"/>
      <c r="AJ7" s="63"/>
      <c r="AK7" s="20"/>
      <c r="AL7" s="21"/>
      <c r="AM7" s="22"/>
      <c r="AN7" s="23"/>
      <c r="AO7" s="24"/>
      <c r="AP7" s="25"/>
      <c r="AQ7" s="26"/>
      <c r="AR7" s="27"/>
      <c r="AS7" s="192"/>
      <c r="AT7" s="111"/>
      <c r="AU7" s="193"/>
      <c r="AV7" s="140"/>
      <c r="AW7" s="118"/>
      <c r="AX7" s="141"/>
      <c r="AY7" s="149"/>
      <c r="AZ7" s="121"/>
      <c r="BA7" s="150"/>
      <c r="BB7" s="158"/>
      <c r="BC7" s="124"/>
      <c r="BD7" s="159"/>
      <c r="BE7" s="167"/>
      <c r="BF7" s="85"/>
      <c r="BG7" s="168"/>
      <c r="BH7" s="175"/>
      <c r="BI7" s="127"/>
      <c r="BJ7" s="176"/>
      <c r="BK7" s="184"/>
      <c r="BL7" s="130"/>
      <c r="BM7" s="185"/>
      <c r="BN7" s="69"/>
      <c r="BO7" s="85"/>
      <c r="BP7" s="85"/>
      <c r="BQ7" s="85"/>
      <c r="BR7" s="85"/>
      <c r="BS7" s="85"/>
      <c r="BT7" s="85"/>
      <c r="BU7" s="87"/>
      <c r="BV7" s="87"/>
      <c r="BW7" s="87"/>
      <c r="BX7" s="87"/>
      <c r="BY7" s="87"/>
      <c r="BZ7" s="87"/>
      <c r="CA7" s="90"/>
      <c r="CB7" s="90"/>
      <c r="CC7" s="90"/>
      <c r="CD7" s="90"/>
      <c r="CE7" s="90"/>
      <c r="CF7" s="90"/>
      <c r="CG7" s="85"/>
      <c r="CH7" s="85"/>
      <c r="CI7" s="85"/>
      <c r="CJ7" s="85"/>
      <c r="CK7" s="85"/>
      <c r="CL7" s="87"/>
      <c r="CM7" s="87"/>
      <c r="CN7" s="87"/>
      <c r="CO7" s="87"/>
      <c r="CP7" s="90"/>
      <c r="CQ7" s="90"/>
      <c r="CR7" s="90"/>
      <c r="CS7" s="90"/>
      <c r="CT7" s="85"/>
      <c r="CU7" s="85"/>
      <c r="CV7" s="85"/>
      <c r="CW7" s="85"/>
      <c r="CX7" s="85"/>
      <c r="CY7" s="85"/>
      <c r="CZ7" s="85"/>
      <c r="DA7" s="33"/>
    </row>
    <row r="8" spans="1:105" ht="19" x14ac:dyDescent="0.25">
      <c r="M8" s="74"/>
      <c r="U8" s="79"/>
      <c r="V8" s="118"/>
      <c r="W8" s="121"/>
      <c r="X8" s="124"/>
      <c r="Y8" s="85"/>
      <c r="Z8" s="127"/>
      <c r="AA8" s="130"/>
      <c r="AE8" s="33"/>
      <c r="AI8" s="71"/>
      <c r="AJ8" s="63"/>
      <c r="AK8" s="20"/>
      <c r="AL8" s="21"/>
      <c r="AM8" s="22"/>
      <c r="AN8" s="23"/>
      <c r="AO8" s="24"/>
      <c r="AP8" s="25"/>
      <c r="AQ8" s="26"/>
      <c r="AR8" s="27"/>
      <c r="AS8" s="192"/>
      <c r="AT8" s="111"/>
      <c r="AU8" s="193"/>
      <c r="AV8" s="140"/>
      <c r="AW8" s="118"/>
      <c r="AX8" s="141"/>
      <c r="AY8" s="149"/>
      <c r="AZ8" s="121"/>
      <c r="BA8" s="150"/>
      <c r="BB8" s="158"/>
      <c r="BC8" s="124"/>
      <c r="BD8" s="159"/>
      <c r="BE8" s="167"/>
      <c r="BF8" s="85"/>
      <c r="BG8" s="168"/>
      <c r="BH8" s="175"/>
      <c r="BI8" s="127"/>
      <c r="BJ8" s="176"/>
      <c r="BK8" s="184"/>
      <c r="BL8" s="130"/>
      <c r="BM8" s="185"/>
      <c r="BN8" s="69"/>
      <c r="BO8" s="85"/>
      <c r="BP8" s="85"/>
      <c r="BQ8" s="85"/>
      <c r="BR8" s="85"/>
      <c r="BS8" s="85"/>
      <c r="BT8" s="85"/>
      <c r="BU8" s="87"/>
      <c r="BV8" s="87"/>
      <c r="BW8" s="87"/>
      <c r="BX8" s="87"/>
      <c r="BY8" s="87"/>
      <c r="BZ8" s="87"/>
      <c r="CA8" s="90"/>
      <c r="CB8" s="90"/>
      <c r="CC8" s="90"/>
      <c r="CD8" s="90"/>
      <c r="CE8" s="90"/>
      <c r="CF8" s="90"/>
      <c r="CG8" s="85"/>
      <c r="CH8" s="85"/>
      <c r="CI8" s="85"/>
      <c r="CJ8" s="85"/>
      <c r="CK8" s="85"/>
      <c r="CL8" s="87"/>
      <c r="CM8" s="87"/>
      <c r="CN8" s="87"/>
      <c r="CO8" s="87"/>
      <c r="CP8" s="90"/>
      <c r="CQ8" s="90"/>
      <c r="CR8" s="90"/>
      <c r="CS8" s="90"/>
      <c r="CT8" s="85"/>
      <c r="CU8" s="85"/>
      <c r="CV8" s="85"/>
      <c r="CW8" s="85"/>
      <c r="CX8" s="85"/>
      <c r="CY8" s="85"/>
      <c r="CZ8" s="85"/>
      <c r="DA8" s="33"/>
    </row>
    <row r="9" spans="1:105" ht="19" x14ac:dyDescent="0.25">
      <c r="M9" s="74"/>
      <c r="U9" s="79"/>
      <c r="V9" s="118"/>
      <c r="W9" s="121"/>
      <c r="X9" s="124"/>
      <c r="Y9" s="85"/>
      <c r="Z9" s="127"/>
      <c r="AA9" s="130"/>
      <c r="AE9" s="33"/>
      <c r="AI9" s="71"/>
      <c r="AJ9" s="63"/>
      <c r="AK9" s="20"/>
      <c r="AL9" s="21"/>
      <c r="AM9" s="22"/>
      <c r="AN9" s="23"/>
      <c r="AO9" s="24"/>
      <c r="AP9" s="25"/>
      <c r="AQ9" s="26"/>
      <c r="AR9" s="27"/>
      <c r="AS9" s="192"/>
      <c r="AT9" s="111"/>
      <c r="AU9" s="193"/>
      <c r="AV9" s="140"/>
      <c r="AW9" s="118"/>
      <c r="AX9" s="141"/>
      <c r="AY9" s="149"/>
      <c r="AZ9" s="121"/>
      <c r="BA9" s="150"/>
      <c r="BB9" s="158"/>
      <c r="BC9" s="124"/>
      <c r="BD9" s="159"/>
      <c r="BE9" s="167"/>
      <c r="BF9" s="85"/>
      <c r="BG9" s="168"/>
      <c r="BH9" s="175"/>
      <c r="BI9" s="127"/>
      <c r="BJ9" s="176"/>
      <c r="BK9" s="184"/>
      <c r="BL9" s="130"/>
      <c r="BM9" s="185"/>
      <c r="BN9" s="69"/>
      <c r="BO9" s="85"/>
      <c r="BP9" s="85"/>
      <c r="BQ9" s="85"/>
      <c r="BR9" s="85"/>
      <c r="BS9" s="85"/>
      <c r="BT9" s="85"/>
      <c r="BU9" s="87"/>
      <c r="BV9" s="87"/>
      <c r="BW9" s="87"/>
      <c r="BX9" s="87"/>
      <c r="BY9" s="87"/>
      <c r="BZ9" s="87"/>
      <c r="CA9" s="90"/>
      <c r="CB9" s="90"/>
      <c r="CC9" s="90"/>
      <c r="CD9" s="90"/>
      <c r="CE9" s="90"/>
      <c r="CF9" s="90"/>
      <c r="CG9" s="85"/>
      <c r="CH9" s="85"/>
      <c r="CI9" s="85"/>
      <c r="CJ9" s="85"/>
      <c r="CK9" s="85"/>
      <c r="CL9" s="87"/>
      <c r="CM9" s="87"/>
      <c r="CN9" s="87"/>
      <c r="CO9" s="87"/>
      <c r="CP9" s="90"/>
      <c r="CQ9" s="90"/>
      <c r="CR9" s="90"/>
      <c r="CS9" s="90"/>
      <c r="CT9" s="85"/>
      <c r="CU9" s="85"/>
      <c r="CV9" s="85"/>
      <c r="CW9" s="85"/>
      <c r="CX9" s="85"/>
      <c r="CY9" s="85"/>
      <c r="CZ9" s="85"/>
      <c r="DA9" s="33"/>
    </row>
    <row r="10" spans="1:105" ht="19" x14ac:dyDescent="0.25">
      <c r="M10" s="74"/>
      <c r="U10" s="79"/>
      <c r="V10" s="118"/>
      <c r="W10" s="121"/>
      <c r="X10" s="124"/>
      <c r="Y10" s="85"/>
      <c r="Z10" s="127"/>
      <c r="AA10" s="130"/>
      <c r="AE10" s="33"/>
      <c r="AI10" s="71"/>
      <c r="AJ10" s="63"/>
      <c r="AK10" s="20"/>
      <c r="AL10" s="21"/>
      <c r="AM10" s="22"/>
      <c r="AN10" s="23"/>
      <c r="AO10" s="24"/>
      <c r="AP10" s="25"/>
      <c r="AQ10" s="26"/>
      <c r="AR10" s="27"/>
      <c r="AS10" s="192"/>
      <c r="AT10" s="111"/>
      <c r="AU10" s="193"/>
      <c r="AV10" s="140"/>
      <c r="AW10" s="118"/>
      <c r="AX10" s="141"/>
      <c r="AY10" s="149"/>
      <c r="AZ10" s="121"/>
      <c r="BA10" s="150"/>
      <c r="BB10" s="158"/>
      <c r="BC10" s="124"/>
      <c r="BD10" s="159"/>
      <c r="BE10" s="167"/>
      <c r="BF10" s="85"/>
      <c r="BG10" s="168"/>
      <c r="BH10" s="175"/>
      <c r="BI10" s="127"/>
      <c r="BJ10" s="176"/>
      <c r="BK10" s="184"/>
      <c r="BL10" s="130"/>
      <c r="BM10" s="185"/>
      <c r="BN10" s="69"/>
      <c r="BO10" s="85"/>
      <c r="BP10" s="85"/>
      <c r="BQ10" s="85"/>
      <c r="BR10" s="85"/>
      <c r="BS10" s="85"/>
      <c r="BT10" s="85"/>
      <c r="BU10" s="87"/>
      <c r="BV10" s="87"/>
      <c r="BW10" s="87"/>
      <c r="BX10" s="87"/>
      <c r="BY10" s="87"/>
      <c r="BZ10" s="87"/>
      <c r="CA10" s="90"/>
      <c r="CB10" s="90"/>
      <c r="CC10" s="90"/>
      <c r="CD10" s="90"/>
      <c r="CE10" s="90"/>
      <c r="CF10" s="90"/>
      <c r="CG10" s="85"/>
      <c r="CH10" s="85"/>
      <c r="CI10" s="85"/>
      <c r="CJ10" s="85"/>
      <c r="CK10" s="85"/>
      <c r="CL10" s="87"/>
      <c r="CM10" s="87"/>
      <c r="CN10" s="87"/>
      <c r="CO10" s="87"/>
      <c r="CP10" s="90"/>
      <c r="CQ10" s="90"/>
      <c r="CR10" s="90"/>
      <c r="CS10" s="90"/>
      <c r="CT10" s="85"/>
      <c r="CU10" s="85"/>
      <c r="CV10" s="85"/>
      <c r="CW10" s="85"/>
      <c r="CX10" s="85"/>
      <c r="CY10" s="85"/>
      <c r="CZ10" s="85"/>
      <c r="DA10" s="33"/>
    </row>
    <row r="11" spans="1:105" ht="19" x14ac:dyDescent="0.25">
      <c r="M11" s="74"/>
      <c r="U11" s="79"/>
      <c r="V11" s="118"/>
      <c r="W11" s="121"/>
      <c r="X11" s="124"/>
      <c r="Y11" s="85"/>
      <c r="Z11" s="127"/>
      <c r="AA11" s="130"/>
      <c r="AE11" s="33"/>
      <c r="AI11" s="71"/>
      <c r="AJ11" s="63"/>
      <c r="AK11" s="20"/>
      <c r="AL11" s="21"/>
      <c r="AM11" s="22"/>
      <c r="AN11" s="23"/>
      <c r="AO11" s="24"/>
      <c r="AP11" s="25"/>
      <c r="AQ11" s="26"/>
      <c r="AR11" s="27"/>
      <c r="AS11" s="192"/>
      <c r="AT11" s="111"/>
      <c r="AU11" s="193"/>
      <c r="AV11" s="140"/>
      <c r="AW11" s="118"/>
      <c r="AX11" s="141"/>
      <c r="AY11" s="149"/>
      <c r="AZ11" s="121"/>
      <c r="BA11" s="150"/>
      <c r="BB11" s="158"/>
      <c r="BC11" s="124"/>
      <c r="BD11" s="159"/>
      <c r="BE11" s="167"/>
      <c r="BF11" s="85"/>
      <c r="BG11" s="168"/>
      <c r="BH11" s="175"/>
      <c r="BI11" s="127"/>
      <c r="BJ11" s="176"/>
      <c r="BK11" s="184"/>
      <c r="BL11" s="130"/>
      <c r="BM11" s="185"/>
      <c r="BN11" s="69"/>
      <c r="BO11" s="85"/>
      <c r="BP11" s="85"/>
      <c r="BQ11" s="85"/>
      <c r="BR11" s="85"/>
      <c r="BS11" s="85"/>
      <c r="BT11" s="85"/>
      <c r="BU11" s="87"/>
      <c r="BV11" s="87"/>
      <c r="BW11" s="87"/>
      <c r="BX11" s="87"/>
      <c r="BY11" s="87"/>
      <c r="BZ11" s="87"/>
      <c r="CA11" s="90"/>
      <c r="CB11" s="90"/>
      <c r="CC11" s="90"/>
      <c r="CD11" s="90"/>
      <c r="CE11" s="90"/>
      <c r="CF11" s="90"/>
      <c r="CG11" s="85"/>
      <c r="CH11" s="85"/>
      <c r="CI11" s="85"/>
      <c r="CJ11" s="85"/>
      <c r="CK11" s="85"/>
      <c r="CL11" s="87"/>
      <c r="CM11" s="87"/>
      <c r="CN11" s="87"/>
      <c r="CO11" s="87"/>
      <c r="CP11" s="90"/>
      <c r="CQ11" s="90"/>
      <c r="CR11" s="90"/>
      <c r="CS11" s="90"/>
      <c r="CT11" s="85"/>
      <c r="CU11" s="85"/>
      <c r="CV11" s="85"/>
      <c r="CW11" s="85"/>
      <c r="CX11" s="85"/>
      <c r="CY11" s="85"/>
      <c r="CZ11" s="85"/>
      <c r="DA11" s="33"/>
    </row>
    <row r="12" spans="1:105" ht="19" x14ac:dyDescent="0.25">
      <c r="M12" s="74"/>
      <c r="U12" s="79"/>
      <c r="V12" s="118"/>
      <c r="W12" s="121"/>
      <c r="X12" s="124"/>
      <c r="Y12" s="85"/>
      <c r="Z12" s="127"/>
      <c r="AA12" s="130"/>
      <c r="AE12" s="33"/>
      <c r="AI12" s="71"/>
      <c r="AJ12" s="63"/>
      <c r="AK12" s="20"/>
      <c r="AL12" s="21"/>
      <c r="AM12" s="22"/>
      <c r="AN12" s="23"/>
      <c r="AO12" s="24"/>
      <c r="AP12" s="25"/>
      <c r="AQ12" s="26"/>
      <c r="AR12" s="27"/>
      <c r="AS12" s="192"/>
      <c r="AT12" s="111"/>
      <c r="AU12" s="193"/>
      <c r="AV12" s="140"/>
      <c r="AW12" s="118"/>
      <c r="AX12" s="141"/>
      <c r="AY12" s="149"/>
      <c r="AZ12" s="121"/>
      <c r="BA12" s="150"/>
      <c r="BB12" s="158"/>
      <c r="BC12" s="124"/>
      <c r="BD12" s="159"/>
      <c r="BE12" s="167"/>
      <c r="BF12" s="85"/>
      <c r="BG12" s="168"/>
      <c r="BH12" s="175"/>
      <c r="BI12" s="127"/>
      <c r="BJ12" s="176"/>
      <c r="BK12" s="184"/>
      <c r="BL12" s="130"/>
      <c r="BM12" s="185"/>
      <c r="BN12" s="69"/>
      <c r="BO12" s="85"/>
      <c r="BP12" s="85"/>
      <c r="BQ12" s="85"/>
      <c r="BR12" s="85"/>
      <c r="BS12" s="85"/>
      <c r="BT12" s="85"/>
      <c r="BU12" s="87"/>
      <c r="BV12" s="87"/>
      <c r="BW12" s="87"/>
      <c r="BX12" s="87"/>
      <c r="BY12" s="87"/>
      <c r="BZ12" s="87"/>
      <c r="CA12" s="90"/>
      <c r="CB12" s="90"/>
      <c r="CC12" s="90"/>
      <c r="CD12" s="90"/>
      <c r="CE12" s="90"/>
      <c r="CF12" s="90"/>
      <c r="CG12" s="85"/>
      <c r="CH12" s="85"/>
      <c r="CI12" s="85"/>
      <c r="CJ12" s="85"/>
      <c r="CK12" s="85"/>
      <c r="CL12" s="87"/>
      <c r="CM12" s="87"/>
      <c r="CN12" s="87"/>
      <c r="CO12" s="87"/>
      <c r="CP12" s="90"/>
      <c r="CQ12" s="90"/>
      <c r="CR12" s="90"/>
      <c r="CS12" s="90"/>
      <c r="CT12" s="85"/>
      <c r="CU12" s="85"/>
      <c r="CV12" s="85"/>
      <c r="CW12" s="85"/>
      <c r="CX12" s="85"/>
      <c r="CY12" s="85"/>
      <c r="CZ12" s="85"/>
      <c r="DA12" s="33"/>
    </row>
    <row r="13" spans="1:105" ht="19" x14ac:dyDescent="0.25">
      <c r="M13" s="74"/>
      <c r="U13" s="79"/>
      <c r="V13" s="118"/>
      <c r="W13" s="121"/>
      <c r="X13" s="124"/>
      <c r="Y13" s="85"/>
      <c r="Z13" s="127"/>
      <c r="AA13" s="130"/>
      <c r="AI13" s="71"/>
      <c r="AJ13" s="63"/>
      <c r="AK13" s="20"/>
      <c r="AL13" s="21"/>
      <c r="AM13" s="22"/>
      <c r="AN13" s="23"/>
      <c r="AO13" s="24"/>
      <c r="AP13" s="25"/>
      <c r="AQ13" s="26"/>
      <c r="AR13" s="27"/>
      <c r="AS13" s="192"/>
      <c r="AT13" s="111"/>
      <c r="AU13" s="193"/>
      <c r="AV13" s="140"/>
      <c r="AW13" s="118"/>
      <c r="AX13" s="141"/>
      <c r="AY13" s="149"/>
      <c r="AZ13" s="121"/>
      <c r="BA13" s="150"/>
      <c r="BB13" s="158"/>
      <c r="BC13" s="124"/>
      <c r="BD13" s="159"/>
      <c r="BE13" s="167"/>
      <c r="BF13" s="85"/>
      <c r="BG13" s="168"/>
      <c r="BH13" s="175"/>
      <c r="BI13" s="127"/>
      <c r="BJ13" s="176"/>
      <c r="BK13" s="184"/>
      <c r="BL13" s="130"/>
      <c r="BM13" s="185"/>
      <c r="BN13" s="69"/>
      <c r="BO13" s="85"/>
      <c r="BP13" s="85"/>
      <c r="BQ13" s="85"/>
      <c r="BR13" s="85"/>
      <c r="BS13" s="85"/>
      <c r="BT13" s="85"/>
      <c r="BU13" s="87"/>
      <c r="BV13" s="87"/>
      <c r="BW13" s="87"/>
      <c r="BX13" s="87"/>
      <c r="BY13" s="87"/>
      <c r="BZ13" s="87"/>
      <c r="CA13" s="90"/>
      <c r="CB13" s="90"/>
      <c r="CC13" s="90"/>
      <c r="CD13" s="90"/>
      <c r="CE13" s="90"/>
      <c r="CF13" s="90"/>
      <c r="CG13" s="85"/>
      <c r="CH13" s="85"/>
      <c r="CI13" s="85"/>
      <c r="CJ13" s="85"/>
      <c r="CK13" s="85"/>
      <c r="CL13" s="87"/>
      <c r="CM13" s="87"/>
      <c r="CN13" s="87"/>
      <c r="CO13" s="87"/>
      <c r="CP13" s="90"/>
      <c r="CQ13" s="90"/>
      <c r="CR13" s="90"/>
      <c r="CS13" s="90"/>
      <c r="CT13" s="85"/>
      <c r="CU13" s="85"/>
      <c r="CV13" s="85"/>
      <c r="CW13" s="85"/>
      <c r="CX13" s="85"/>
      <c r="CY13" s="85"/>
      <c r="CZ13" s="85"/>
      <c r="DA13" s="33"/>
    </row>
    <row r="14" spans="1:105" ht="19" x14ac:dyDescent="0.25">
      <c r="M14" s="74"/>
      <c r="U14" s="79"/>
      <c r="V14" s="118"/>
      <c r="W14" s="121"/>
      <c r="X14" s="124"/>
      <c r="Y14" s="85"/>
      <c r="Z14" s="127"/>
      <c r="AA14" s="130"/>
      <c r="AI14" s="71"/>
      <c r="AJ14" s="63"/>
      <c r="AK14" s="20"/>
      <c r="AL14" s="21"/>
      <c r="AM14" s="22"/>
      <c r="AN14" s="23"/>
      <c r="AO14" s="24"/>
      <c r="AP14" s="25"/>
      <c r="AQ14" s="26"/>
      <c r="AR14" s="27"/>
      <c r="AS14" s="192"/>
      <c r="AT14" s="111"/>
      <c r="AU14" s="193"/>
      <c r="AV14" s="140"/>
      <c r="AW14" s="118"/>
      <c r="AX14" s="141"/>
      <c r="AY14" s="149"/>
      <c r="AZ14" s="121"/>
      <c r="BA14" s="150"/>
      <c r="BB14" s="158"/>
      <c r="BC14" s="124"/>
      <c r="BD14" s="159"/>
      <c r="BE14" s="167"/>
      <c r="BF14" s="85"/>
      <c r="BG14" s="168"/>
      <c r="BH14" s="175"/>
      <c r="BI14" s="127"/>
      <c r="BJ14" s="176"/>
      <c r="BK14" s="184"/>
      <c r="BL14" s="130"/>
      <c r="BM14" s="185"/>
      <c r="BN14" s="69"/>
      <c r="BO14" s="85"/>
      <c r="BP14" s="85"/>
      <c r="BQ14" s="85"/>
      <c r="BR14" s="85"/>
      <c r="BS14" s="85"/>
      <c r="BT14" s="85"/>
      <c r="BU14" s="87"/>
      <c r="BV14" s="87"/>
      <c r="BW14" s="87"/>
      <c r="BX14" s="87"/>
      <c r="BY14" s="87"/>
      <c r="BZ14" s="87"/>
      <c r="CA14" s="90"/>
      <c r="CB14" s="90"/>
      <c r="CC14" s="90"/>
      <c r="CD14" s="90"/>
      <c r="CE14" s="90"/>
      <c r="CF14" s="90"/>
      <c r="CG14" s="85"/>
      <c r="CH14" s="85"/>
      <c r="CI14" s="85"/>
      <c r="CJ14" s="85"/>
      <c r="CK14" s="85"/>
      <c r="CL14" s="87"/>
      <c r="CM14" s="87"/>
      <c r="CN14" s="87"/>
      <c r="CO14" s="87"/>
      <c r="CP14" s="90"/>
      <c r="CQ14" s="90"/>
      <c r="CR14" s="90"/>
      <c r="CS14" s="90"/>
      <c r="CT14" s="85"/>
      <c r="CU14" s="85"/>
      <c r="CV14" s="85"/>
      <c r="CW14" s="85"/>
      <c r="CX14" s="85"/>
      <c r="CY14" s="85"/>
      <c r="CZ14" s="85"/>
      <c r="DA14" s="33"/>
    </row>
    <row r="15" spans="1:105" ht="19" x14ac:dyDescent="0.25">
      <c r="M15" s="74"/>
      <c r="U15" s="79"/>
      <c r="V15" s="118"/>
      <c r="W15" s="121"/>
      <c r="X15" s="124"/>
      <c r="Y15" s="85"/>
      <c r="Z15" s="127"/>
      <c r="AA15" s="130"/>
      <c r="AI15" s="71"/>
      <c r="AJ15" s="63"/>
      <c r="AK15" s="20"/>
      <c r="AL15" s="21"/>
      <c r="AM15" s="22"/>
      <c r="AN15" s="23"/>
      <c r="AO15" s="24"/>
      <c r="AP15" s="25"/>
      <c r="AQ15" s="26"/>
      <c r="AR15" s="27"/>
      <c r="AS15" s="192"/>
      <c r="AT15" s="111"/>
      <c r="AU15" s="193"/>
      <c r="AV15" s="140"/>
      <c r="AW15" s="118"/>
      <c r="AX15" s="141"/>
      <c r="AY15" s="149"/>
      <c r="AZ15" s="121"/>
      <c r="BA15" s="150"/>
      <c r="BB15" s="158"/>
      <c r="BC15" s="124"/>
      <c r="BD15" s="159"/>
      <c r="BE15" s="167"/>
      <c r="BF15" s="85"/>
      <c r="BG15" s="168"/>
      <c r="BH15" s="175"/>
      <c r="BI15" s="127"/>
      <c r="BJ15" s="176"/>
      <c r="BK15" s="184"/>
      <c r="BL15" s="130"/>
      <c r="BM15" s="185"/>
      <c r="BN15" s="69"/>
      <c r="BO15" s="85"/>
      <c r="BP15" s="85"/>
      <c r="BQ15" s="85"/>
      <c r="BR15" s="85"/>
      <c r="BS15" s="85"/>
      <c r="BT15" s="85"/>
      <c r="BU15" s="87"/>
      <c r="BV15" s="87"/>
      <c r="BW15" s="87"/>
      <c r="BX15" s="87"/>
      <c r="BY15" s="87"/>
      <c r="BZ15" s="87"/>
      <c r="CA15" s="90"/>
      <c r="CB15" s="90"/>
      <c r="CC15" s="90"/>
      <c r="CD15" s="90"/>
      <c r="CE15" s="90"/>
      <c r="CF15" s="90"/>
      <c r="CG15" s="85"/>
      <c r="CH15" s="85"/>
      <c r="CI15" s="85"/>
      <c r="CJ15" s="85"/>
      <c r="CK15" s="85"/>
      <c r="CL15" s="87"/>
      <c r="CM15" s="87"/>
      <c r="CN15" s="87"/>
      <c r="CO15" s="87"/>
      <c r="CP15" s="90"/>
      <c r="CQ15" s="90"/>
      <c r="CR15" s="90"/>
      <c r="CS15" s="90"/>
      <c r="CT15" s="85"/>
      <c r="CU15" s="85"/>
      <c r="CV15" s="85"/>
      <c r="CW15" s="85"/>
      <c r="CX15" s="85"/>
      <c r="CY15" s="85"/>
      <c r="CZ15" s="85"/>
      <c r="DA15" s="33"/>
    </row>
    <row r="16" spans="1:105" ht="19" x14ac:dyDescent="0.25">
      <c r="M16" s="74"/>
      <c r="U16" s="79"/>
      <c r="V16" s="118"/>
      <c r="W16" s="121"/>
      <c r="X16" s="124"/>
      <c r="Y16" s="85"/>
      <c r="Z16" s="127"/>
      <c r="AA16" s="130"/>
      <c r="AI16" s="71"/>
      <c r="AJ16" s="63"/>
      <c r="AK16" s="20"/>
      <c r="AL16" s="21"/>
      <c r="AM16" s="22"/>
      <c r="AN16" s="23"/>
      <c r="AO16" s="24"/>
      <c r="AP16" s="25"/>
      <c r="AQ16" s="26"/>
      <c r="AR16" s="27"/>
      <c r="AS16" s="192"/>
      <c r="AT16" s="111"/>
      <c r="AU16" s="193"/>
      <c r="AV16" s="140"/>
      <c r="AW16" s="118"/>
      <c r="AX16" s="141"/>
      <c r="AY16" s="149"/>
      <c r="AZ16" s="121"/>
      <c r="BA16" s="150"/>
      <c r="BB16" s="158"/>
      <c r="BC16" s="124"/>
      <c r="BD16" s="159"/>
      <c r="BE16" s="167"/>
      <c r="BF16" s="85"/>
      <c r="BG16" s="168"/>
      <c r="BH16" s="175"/>
      <c r="BI16" s="127"/>
      <c r="BJ16" s="176"/>
      <c r="BK16" s="184"/>
      <c r="BL16" s="130"/>
      <c r="BM16" s="185"/>
      <c r="BN16" s="69"/>
      <c r="BO16" s="85"/>
      <c r="BP16" s="85"/>
      <c r="BQ16" s="85"/>
      <c r="BR16" s="85"/>
      <c r="BS16" s="85"/>
      <c r="BT16" s="85"/>
      <c r="BU16" s="87"/>
      <c r="BV16" s="87"/>
      <c r="BW16" s="87"/>
      <c r="BX16" s="87"/>
      <c r="BY16" s="87"/>
      <c r="BZ16" s="87"/>
      <c r="CA16" s="90"/>
      <c r="CB16" s="90"/>
      <c r="CC16" s="90"/>
      <c r="CD16" s="90"/>
      <c r="CE16" s="90"/>
      <c r="CF16" s="90"/>
      <c r="CG16" s="85"/>
      <c r="CH16" s="85"/>
      <c r="CI16" s="85"/>
      <c r="CJ16" s="85"/>
      <c r="CK16" s="85"/>
      <c r="CL16" s="87"/>
      <c r="CM16" s="87"/>
      <c r="CN16" s="87"/>
      <c r="CO16" s="87"/>
      <c r="CP16" s="90"/>
      <c r="CQ16" s="90"/>
      <c r="CR16" s="90"/>
      <c r="CS16" s="90"/>
      <c r="CT16" s="85"/>
      <c r="CU16" s="85"/>
      <c r="CV16" s="85"/>
      <c r="CW16" s="85"/>
      <c r="CX16" s="85"/>
      <c r="CY16" s="85"/>
      <c r="CZ16" s="85"/>
      <c r="DA16" s="33"/>
    </row>
    <row r="17" spans="13:105" ht="19" x14ac:dyDescent="0.25">
      <c r="M17" s="74"/>
      <c r="U17" s="79"/>
      <c r="V17" s="118"/>
      <c r="W17" s="121"/>
      <c r="X17" s="124"/>
      <c r="Y17" s="85"/>
      <c r="Z17" s="127"/>
      <c r="AA17" s="130"/>
      <c r="AI17" s="71"/>
      <c r="AJ17" s="63"/>
      <c r="AK17" s="20"/>
      <c r="AL17" s="21"/>
      <c r="AM17" s="22"/>
      <c r="AN17" s="23"/>
      <c r="AO17" s="24"/>
      <c r="AP17" s="25"/>
      <c r="AQ17" s="26"/>
      <c r="AR17" s="27"/>
      <c r="AS17" s="192"/>
      <c r="AT17" s="111"/>
      <c r="AU17" s="193"/>
      <c r="AV17" s="140"/>
      <c r="AW17" s="118"/>
      <c r="AX17" s="141"/>
      <c r="AY17" s="149"/>
      <c r="AZ17" s="121"/>
      <c r="BA17" s="150"/>
      <c r="BB17" s="158"/>
      <c r="BC17" s="124"/>
      <c r="BD17" s="159"/>
      <c r="BE17" s="167"/>
      <c r="BF17" s="85"/>
      <c r="BG17" s="168"/>
      <c r="BH17" s="175"/>
      <c r="BI17" s="127"/>
      <c r="BJ17" s="176"/>
      <c r="BK17" s="184"/>
      <c r="BL17" s="130"/>
      <c r="BM17" s="185"/>
      <c r="BN17" s="69"/>
      <c r="BO17" s="85"/>
      <c r="BP17" s="85"/>
      <c r="BQ17" s="85"/>
      <c r="BR17" s="85"/>
      <c r="BS17" s="85"/>
      <c r="BT17" s="85"/>
      <c r="BU17" s="87"/>
      <c r="BV17" s="87"/>
      <c r="BW17" s="87"/>
      <c r="BX17" s="87"/>
      <c r="BY17" s="87"/>
      <c r="BZ17" s="87"/>
      <c r="CA17" s="90"/>
      <c r="CB17" s="90"/>
      <c r="CC17" s="90"/>
      <c r="CD17" s="90"/>
      <c r="CE17" s="90"/>
      <c r="CF17" s="90"/>
      <c r="CG17" s="85"/>
      <c r="CH17" s="85"/>
      <c r="CI17" s="85"/>
      <c r="CJ17" s="85"/>
      <c r="CK17" s="85"/>
      <c r="CL17" s="87"/>
      <c r="CM17" s="87"/>
      <c r="CN17" s="87"/>
      <c r="CO17" s="87"/>
      <c r="CP17" s="90"/>
      <c r="CQ17" s="90"/>
      <c r="CR17" s="90"/>
      <c r="CS17" s="90"/>
      <c r="CT17" s="85"/>
      <c r="CU17" s="85"/>
      <c r="CV17" s="85"/>
      <c r="CW17" s="85"/>
      <c r="CX17" s="85"/>
      <c r="CY17" s="85"/>
      <c r="CZ17" s="85"/>
      <c r="DA17" s="33"/>
    </row>
    <row r="18" spans="13:105" ht="19" x14ac:dyDescent="0.25">
      <c r="M18" s="74"/>
      <c r="U18" s="79"/>
      <c r="V18" s="118"/>
      <c r="W18" s="121"/>
      <c r="X18" s="124"/>
      <c r="Y18" s="85"/>
      <c r="Z18" s="127"/>
      <c r="AA18" s="130"/>
      <c r="AI18" s="71"/>
      <c r="AJ18" s="63"/>
      <c r="AK18" s="20"/>
      <c r="AL18" s="21"/>
      <c r="AM18" s="22"/>
      <c r="AN18" s="23"/>
      <c r="AO18" s="24"/>
      <c r="AP18" s="25"/>
      <c r="AQ18" s="26"/>
      <c r="AR18" s="27"/>
      <c r="AS18" s="192"/>
      <c r="AT18" s="111"/>
      <c r="AU18" s="193"/>
      <c r="AV18" s="140"/>
      <c r="AW18" s="118"/>
      <c r="AX18" s="141"/>
      <c r="AY18" s="149"/>
      <c r="AZ18" s="121"/>
      <c r="BA18" s="150"/>
      <c r="BB18" s="158"/>
      <c r="BC18" s="124"/>
      <c r="BD18" s="159"/>
      <c r="BE18" s="167"/>
      <c r="BF18" s="85"/>
      <c r="BG18" s="168"/>
      <c r="BH18" s="175"/>
      <c r="BI18" s="127"/>
      <c r="BJ18" s="176"/>
      <c r="BK18" s="184"/>
      <c r="BL18" s="130"/>
      <c r="BM18" s="185"/>
      <c r="BN18" s="69"/>
      <c r="BO18" s="85"/>
      <c r="BP18" s="85"/>
      <c r="BQ18" s="85"/>
      <c r="BR18" s="85"/>
      <c r="BS18" s="85"/>
      <c r="BT18" s="85"/>
      <c r="BU18" s="87"/>
      <c r="BV18" s="87"/>
      <c r="BW18" s="87"/>
      <c r="BX18" s="87"/>
      <c r="BY18" s="87"/>
      <c r="BZ18" s="87"/>
      <c r="CA18" s="90"/>
      <c r="CB18" s="90"/>
      <c r="CC18" s="90"/>
      <c r="CD18" s="90"/>
      <c r="CE18" s="90"/>
      <c r="CF18" s="90"/>
      <c r="CG18" s="85"/>
      <c r="CH18" s="85"/>
      <c r="CI18" s="85"/>
      <c r="CJ18" s="85"/>
      <c r="CK18" s="85"/>
      <c r="CL18" s="87"/>
      <c r="CM18" s="87"/>
      <c r="CN18" s="87"/>
      <c r="CO18" s="87"/>
      <c r="CP18" s="90"/>
      <c r="CQ18" s="90"/>
      <c r="CR18" s="90"/>
      <c r="CS18" s="90"/>
      <c r="CT18" s="85"/>
      <c r="CU18" s="85"/>
      <c r="CV18" s="85"/>
      <c r="CW18" s="85"/>
      <c r="CX18" s="85"/>
      <c r="CY18" s="85"/>
      <c r="CZ18" s="85"/>
      <c r="DA18" s="33"/>
    </row>
    <row r="19" spans="13:105" ht="19" x14ac:dyDescent="0.25">
      <c r="M19" s="74"/>
      <c r="U19" s="79"/>
      <c r="V19" s="118"/>
      <c r="W19" s="121"/>
      <c r="X19" s="124"/>
      <c r="Y19" s="85"/>
      <c r="Z19" s="127"/>
      <c r="AA19" s="130"/>
      <c r="AI19" s="71"/>
      <c r="AJ19" s="63"/>
      <c r="AK19" s="20"/>
      <c r="AL19" s="21"/>
      <c r="AM19" s="22"/>
      <c r="AN19" s="23"/>
      <c r="AO19" s="24"/>
      <c r="AP19" s="25"/>
      <c r="AQ19" s="26"/>
      <c r="AR19" s="27"/>
      <c r="AS19" s="192"/>
      <c r="AT19" s="111"/>
      <c r="AU19" s="193"/>
      <c r="AV19" s="140"/>
      <c r="AW19" s="118"/>
      <c r="AX19" s="141"/>
      <c r="AY19" s="149"/>
      <c r="AZ19" s="121"/>
      <c r="BA19" s="150"/>
      <c r="BB19" s="158"/>
      <c r="BC19" s="124"/>
      <c r="BD19" s="159"/>
      <c r="BE19" s="167"/>
      <c r="BF19" s="85"/>
      <c r="BG19" s="168"/>
      <c r="BH19" s="175"/>
      <c r="BI19" s="127"/>
      <c r="BJ19" s="176"/>
      <c r="BK19" s="184"/>
      <c r="BL19" s="130"/>
      <c r="BM19" s="185"/>
      <c r="BN19" s="69"/>
      <c r="BO19" s="85"/>
      <c r="BP19" s="85"/>
      <c r="BQ19" s="85"/>
      <c r="BR19" s="85"/>
      <c r="BS19" s="85"/>
      <c r="BT19" s="85"/>
      <c r="BU19" s="87"/>
      <c r="BV19" s="87"/>
      <c r="BW19" s="87"/>
      <c r="BX19" s="87"/>
      <c r="BY19" s="87"/>
      <c r="BZ19" s="87"/>
      <c r="CA19" s="90"/>
      <c r="CB19" s="90"/>
      <c r="CC19" s="90"/>
      <c r="CD19" s="90"/>
      <c r="CE19" s="90"/>
      <c r="CF19" s="90"/>
      <c r="CG19" s="85"/>
      <c r="CH19" s="85"/>
      <c r="CI19" s="85"/>
      <c r="CJ19" s="85"/>
      <c r="CK19" s="85"/>
      <c r="CL19" s="87"/>
      <c r="CM19" s="87"/>
      <c r="CN19" s="87"/>
      <c r="CO19" s="87"/>
      <c r="CP19" s="90"/>
      <c r="CQ19" s="90"/>
      <c r="CR19" s="90"/>
      <c r="CS19" s="90"/>
      <c r="CT19" s="85"/>
      <c r="CU19" s="85"/>
      <c r="CV19" s="85"/>
      <c r="CW19" s="85"/>
      <c r="CX19" s="85"/>
      <c r="CY19" s="85"/>
      <c r="CZ19" s="85"/>
      <c r="DA19" s="33"/>
    </row>
    <row r="20" spans="13:105" ht="19" x14ac:dyDescent="0.25">
      <c r="M20" s="74"/>
      <c r="U20" s="79"/>
      <c r="V20" s="118"/>
      <c r="W20" s="121"/>
      <c r="X20" s="124"/>
      <c r="Y20" s="85"/>
      <c r="Z20" s="127"/>
      <c r="AA20" s="130"/>
      <c r="AI20" s="71"/>
      <c r="AJ20" s="63"/>
      <c r="AK20" s="20"/>
      <c r="AL20" s="21"/>
      <c r="AM20" s="22"/>
      <c r="AN20" s="23"/>
      <c r="AO20" s="24"/>
      <c r="AP20" s="25"/>
      <c r="AQ20" s="26"/>
      <c r="AR20" s="27"/>
      <c r="AS20" s="192"/>
      <c r="AT20" s="111"/>
      <c r="AU20" s="193"/>
      <c r="AV20" s="140"/>
      <c r="AW20" s="118"/>
      <c r="AX20" s="141"/>
      <c r="AY20" s="149"/>
      <c r="AZ20" s="121"/>
      <c r="BA20" s="150"/>
      <c r="BB20" s="158"/>
      <c r="BC20" s="124"/>
      <c r="BD20" s="159"/>
      <c r="BE20" s="167"/>
      <c r="BF20" s="85"/>
      <c r="BG20" s="168"/>
      <c r="BH20" s="175"/>
      <c r="BI20" s="127"/>
      <c r="BJ20" s="176"/>
      <c r="BK20" s="184"/>
      <c r="BL20" s="130"/>
      <c r="BM20" s="185"/>
      <c r="BN20" s="69"/>
      <c r="BO20" s="85"/>
      <c r="BP20" s="85"/>
      <c r="BQ20" s="85"/>
      <c r="BR20" s="85"/>
      <c r="BS20" s="85"/>
      <c r="BT20" s="85"/>
      <c r="BU20" s="87"/>
      <c r="BV20" s="87"/>
      <c r="BW20" s="87"/>
      <c r="BX20" s="87"/>
      <c r="BY20" s="87"/>
      <c r="BZ20" s="87"/>
      <c r="CA20" s="90"/>
      <c r="CB20" s="90"/>
      <c r="CC20" s="90"/>
      <c r="CD20" s="90"/>
      <c r="CE20" s="90"/>
      <c r="CF20" s="90"/>
      <c r="CG20" s="85"/>
      <c r="CH20" s="85"/>
      <c r="CI20" s="85"/>
      <c r="CJ20" s="85"/>
      <c r="CK20" s="85"/>
      <c r="CL20" s="87"/>
      <c r="CM20" s="87"/>
      <c r="CN20" s="87"/>
      <c r="CO20" s="87"/>
      <c r="CP20" s="90"/>
      <c r="CQ20" s="90"/>
      <c r="CR20" s="90"/>
      <c r="CS20" s="90"/>
      <c r="CT20" s="85"/>
      <c r="CU20" s="85"/>
      <c r="CV20" s="85"/>
      <c r="CW20" s="85"/>
      <c r="CX20" s="85"/>
      <c r="CY20" s="85"/>
      <c r="CZ20" s="85"/>
      <c r="DA20" s="33"/>
    </row>
    <row r="21" spans="13:105" ht="19" x14ac:dyDescent="0.25">
      <c r="M21" s="74"/>
      <c r="U21" s="79"/>
      <c r="V21" s="118"/>
      <c r="W21" s="121"/>
      <c r="X21" s="124"/>
      <c r="Y21" s="85"/>
      <c r="Z21" s="127"/>
      <c r="AA21" s="130"/>
      <c r="AI21" s="71"/>
      <c r="AJ21" s="63"/>
      <c r="AK21" s="20"/>
      <c r="AL21" s="21"/>
      <c r="AM21" s="22"/>
      <c r="AN21" s="23"/>
      <c r="AO21" s="24"/>
      <c r="AP21" s="25"/>
      <c r="AQ21" s="26"/>
      <c r="AR21" s="27"/>
      <c r="AS21" s="192"/>
      <c r="AT21" s="111"/>
      <c r="AU21" s="193"/>
      <c r="AV21" s="140"/>
      <c r="AW21" s="118"/>
      <c r="AX21" s="141"/>
      <c r="AY21" s="149"/>
      <c r="AZ21" s="121"/>
      <c r="BA21" s="150"/>
      <c r="BB21" s="158"/>
      <c r="BC21" s="124"/>
      <c r="BD21" s="159"/>
      <c r="BE21" s="167"/>
      <c r="BF21" s="85"/>
      <c r="BG21" s="168"/>
      <c r="BH21" s="175"/>
      <c r="BI21" s="127"/>
      <c r="BJ21" s="176"/>
      <c r="BK21" s="184"/>
      <c r="BL21" s="130"/>
      <c r="BM21" s="185"/>
      <c r="BN21" s="69"/>
      <c r="BO21" s="85"/>
      <c r="BP21" s="85"/>
      <c r="BQ21" s="85"/>
      <c r="BR21" s="85"/>
      <c r="BS21" s="85"/>
      <c r="BT21" s="85"/>
      <c r="BU21" s="87"/>
      <c r="BV21" s="87"/>
      <c r="BW21" s="87"/>
      <c r="BX21" s="87"/>
      <c r="BY21" s="87"/>
      <c r="BZ21" s="87"/>
      <c r="CA21" s="90"/>
      <c r="CB21" s="90"/>
      <c r="CC21" s="90"/>
      <c r="CD21" s="90"/>
      <c r="CE21" s="90"/>
      <c r="CF21" s="90"/>
      <c r="CG21" s="85"/>
      <c r="CH21" s="85"/>
      <c r="CI21" s="85"/>
      <c r="CJ21" s="85"/>
      <c r="CK21" s="85"/>
      <c r="CL21" s="87"/>
      <c r="CM21" s="87"/>
      <c r="CN21" s="87"/>
      <c r="CO21" s="87"/>
      <c r="CP21" s="90"/>
      <c r="CQ21" s="90"/>
      <c r="CR21" s="90"/>
      <c r="CS21" s="90"/>
      <c r="CT21" s="85"/>
      <c r="CU21" s="85"/>
      <c r="CV21" s="85"/>
      <c r="CW21" s="85"/>
      <c r="CX21" s="85"/>
      <c r="CY21" s="85"/>
      <c r="CZ21" s="85"/>
      <c r="DA21" s="33"/>
    </row>
    <row r="22" spans="13:105" ht="19" x14ac:dyDescent="0.25">
      <c r="M22" s="74"/>
      <c r="U22" s="79"/>
      <c r="V22" s="118"/>
      <c r="W22" s="121"/>
      <c r="X22" s="124"/>
      <c r="Y22" s="85"/>
      <c r="Z22" s="127"/>
      <c r="AA22" s="130"/>
      <c r="AI22" s="71"/>
      <c r="AJ22" s="63"/>
      <c r="AK22" s="20"/>
      <c r="AL22" s="21"/>
      <c r="AM22" s="22"/>
      <c r="AN22" s="23"/>
      <c r="AO22" s="24"/>
      <c r="AP22" s="25"/>
      <c r="AQ22" s="26"/>
      <c r="AR22" s="27"/>
      <c r="AS22" s="192"/>
      <c r="AT22" s="111"/>
      <c r="AU22" s="193"/>
      <c r="AV22" s="140"/>
      <c r="AW22" s="118"/>
      <c r="AX22" s="141"/>
      <c r="AY22" s="149"/>
      <c r="AZ22" s="121"/>
      <c r="BA22" s="150"/>
      <c r="BB22" s="158"/>
      <c r="BC22" s="124"/>
      <c r="BD22" s="159"/>
      <c r="BE22" s="167"/>
      <c r="BF22" s="85"/>
      <c r="BG22" s="168"/>
      <c r="BH22" s="175"/>
      <c r="BI22" s="127"/>
      <c r="BJ22" s="176"/>
      <c r="BK22" s="184"/>
      <c r="BL22" s="130"/>
      <c r="BM22" s="185"/>
      <c r="BN22" s="69"/>
      <c r="BO22" s="85"/>
      <c r="BP22" s="85"/>
      <c r="BQ22" s="85"/>
      <c r="BR22" s="85"/>
      <c r="BS22" s="85"/>
      <c r="BT22" s="85"/>
      <c r="BU22" s="87"/>
      <c r="BV22" s="87"/>
      <c r="BW22" s="87"/>
      <c r="BX22" s="87"/>
      <c r="BY22" s="87"/>
      <c r="BZ22" s="87"/>
      <c r="CA22" s="90"/>
      <c r="CB22" s="90"/>
      <c r="CC22" s="90"/>
      <c r="CD22" s="90"/>
      <c r="CE22" s="90"/>
      <c r="CF22" s="90"/>
      <c r="CG22" s="85"/>
      <c r="CH22" s="85"/>
      <c r="CI22" s="85"/>
      <c r="CJ22" s="85"/>
      <c r="CK22" s="85"/>
      <c r="CL22" s="87"/>
      <c r="CM22" s="87"/>
      <c r="CN22" s="87"/>
      <c r="CO22" s="87"/>
      <c r="CP22" s="90"/>
      <c r="CQ22" s="90"/>
      <c r="CR22" s="90"/>
      <c r="CS22" s="90"/>
      <c r="CT22" s="85"/>
      <c r="CU22" s="85"/>
      <c r="CV22" s="85"/>
      <c r="CW22" s="85"/>
      <c r="CX22" s="85"/>
      <c r="CY22" s="85"/>
      <c r="CZ22" s="85"/>
      <c r="DA22" s="33"/>
    </row>
    <row r="23" spans="13:105" ht="19" x14ac:dyDescent="0.25">
      <c r="M23" s="74"/>
      <c r="U23" s="79"/>
      <c r="V23" s="118"/>
      <c r="W23" s="121"/>
      <c r="X23" s="124"/>
      <c r="Y23" s="85"/>
      <c r="Z23" s="127"/>
      <c r="AA23" s="130"/>
      <c r="AI23" s="71"/>
      <c r="AJ23" s="63"/>
      <c r="AK23" s="20"/>
      <c r="AL23" s="21"/>
      <c r="AM23" s="22"/>
      <c r="AN23" s="23"/>
      <c r="AO23" s="24"/>
      <c r="AP23" s="25"/>
      <c r="AQ23" s="26"/>
      <c r="AR23" s="27"/>
      <c r="AS23" s="192"/>
      <c r="AT23" s="111"/>
      <c r="AU23" s="193"/>
      <c r="AV23" s="140"/>
      <c r="AW23" s="118"/>
      <c r="AX23" s="141"/>
      <c r="AY23" s="149"/>
      <c r="AZ23" s="121"/>
      <c r="BA23" s="150"/>
      <c r="BB23" s="158"/>
      <c r="BC23" s="124"/>
      <c r="BD23" s="159"/>
      <c r="BE23" s="167"/>
      <c r="BF23" s="85"/>
      <c r="BG23" s="168"/>
      <c r="BH23" s="175"/>
      <c r="BI23" s="127"/>
      <c r="BJ23" s="176"/>
      <c r="BK23" s="184"/>
      <c r="BL23" s="130"/>
      <c r="BM23" s="185"/>
      <c r="BN23" s="69"/>
      <c r="BO23" s="85"/>
      <c r="BP23" s="85"/>
      <c r="BQ23" s="85"/>
      <c r="BR23" s="85"/>
      <c r="BS23" s="85"/>
      <c r="BT23" s="85"/>
      <c r="BU23" s="87"/>
      <c r="BV23" s="87"/>
      <c r="BW23" s="87"/>
      <c r="BX23" s="87"/>
      <c r="BY23" s="87"/>
      <c r="BZ23" s="87"/>
      <c r="CA23" s="90"/>
      <c r="CB23" s="90"/>
      <c r="CC23" s="90"/>
      <c r="CD23" s="90"/>
      <c r="CE23" s="90"/>
      <c r="CF23" s="90"/>
      <c r="CG23" s="85"/>
      <c r="CH23" s="85"/>
      <c r="CI23" s="85"/>
      <c r="CJ23" s="85"/>
      <c r="CK23" s="85"/>
      <c r="CL23" s="87"/>
      <c r="CM23" s="87"/>
      <c r="CN23" s="87"/>
      <c r="CO23" s="87"/>
      <c r="CP23" s="90"/>
      <c r="CQ23" s="90"/>
      <c r="CR23" s="90"/>
      <c r="CS23" s="90"/>
      <c r="CT23" s="85"/>
      <c r="CU23" s="85"/>
      <c r="CV23" s="85"/>
      <c r="CW23" s="85"/>
      <c r="CX23" s="85"/>
      <c r="CY23" s="85"/>
      <c r="CZ23" s="85"/>
      <c r="DA23" s="33"/>
    </row>
    <row r="24" spans="13:105" ht="19" x14ac:dyDescent="0.25">
      <c r="M24" s="74"/>
      <c r="U24" s="79"/>
      <c r="V24" s="118"/>
      <c r="W24" s="121"/>
      <c r="X24" s="124"/>
      <c r="Y24" s="85"/>
      <c r="Z24" s="127"/>
      <c r="AA24" s="130"/>
      <c r="AI24" s="71"/>
      <c r="AJ24" s="63"/>
      <c r="AK24" s="20"/>
      <c r="AL24" s="21"/>
      <c r="AM24" s="22"/>
      <c r="AN24" s="23"/>
      <c r="AO24" s="24"/>
      <c r="AP24" s="25"/>
      <c r="AQ24" s="26"/>
      <c r="AR24" s="27"/>
      <c r="AS24" s="192"/>
      <c r="AT24" s="111"/>
      <c r="AU24" s="193"/>
      <c r="AV24" s="140"/>
      <c r="AW24" s="118"/>
      <c r="AX24" s="141"/>
      <c r="AY24" s="149"/>
      <c r="AZ24" s="121"/>
      <c r="BA24" s="150"/>
      <c r="BB24" s="158"/>
      <c r="BC24" s="124"/>
      <c r="BD24" s="159"/>
      <c r="BE24" s="167"/>
      <c r="BF24" s="85"/>
      <c r="BG24" s="168"/>
      <c r="BH24" s="175"/>
      <c r="BI24" s="127"/>
      <c r="BJ24" s="176"/>
      <c r="BK24" s="184"/>
      <c r="BL24" s="130"/>
      <c r="BM24" s="185"/>
      <c r="BN24" s="69"/>
      <c r="BO24" s="85"/>
      <c r="BP24" s="85"/>
      <c r="BQ24" s="85"/>
      <c r="BR24" s="85"/>
      <c r="BS24" s="85"/>
      <c r="BT24" s="85"/>
      <c r="BU24" s="87"/>
      <c r="BV24" s="87"/>
      <c r="BW24" s="87"/>
      <c r="BX24" s="87"/>
      <c r="BY24" s="87"/>
      <c r="BZ24" s="87"/>
      <c r="CA24" s="90"/>
      <c r="CB24" s="90"/>
      <c r="CC24" s="90"/>
      <c r="CD24" s="90"/>
      <c r="CE24" s="90"/>
      <c r="CF24" s="90"/>
      <c r="CG24" s="85"/>
      <c r="CH24" s="85"/>
      <c r="CI24" s="85"/>
      <c r="CJ24" s="85"/>
      <c r="CK24" s="85"/>
      <c r="CL24" s="87"/>
      <c r="CM24" s="87"/>
      <c r="CN24" s="87"/>
      <c r="CO24" s="87"/>
      <c r="CP24" s="90"/>
      <c r="CQ24" s="90"/>
      <c r="CR24" s="90"/>
      <c r="CS24" s="90"/>
      <c r="CT24" s="85"/>
      <c r="CU24" s="85"/>
      <c r="CV24" s="85"/>
      <c r="CW24" s="85"/>
      <c r="CX24" s="85"/>
      <c r="CY24" s="85"/>
      <c r="CZ24" s="85"/>
      <c r="DA24" s="33"/>
    </row>
    <row r="25" spans="13:105" ht="19" x14ac:dyDescent="0.25">
      <c r="M25" s="74"/>
      <c r="U25" s="79"/>
      <c r="V25" s="118"/>
      <c r="W25" s="121"/>
      <c r="X25" s="124"/>
      <c r="Y25" s="85"/>
      <c r="Z25" s="127"/>
      <c r="AA25" s="130"/>
      <c r="AI25" s="71"/>
      <c r="AJ25" s="63"/>
      <c r="AK25" s="20"/>
      <c r="AL25" s="21"/>
      <c r="AM25" s="22"/>
      <c r="AN25" s="23"/>
      <c r="AO25" s="24"/>
      <c r="AP25" s="25"/>
      <c r="AQ25" s="26"/>
      <c r="AR25" s="27"/>
      <c r="AS25" s="192"/>
      <c r="AT25" s="111"/>
      <c r="AU25" s="193"/>
      <c r="AV25" s="140"/>
      <c r="AW25" s="118"/>
      <c r="AX25" s="141"/>
      <c r="AY25" s="149"/>
      <c r="AZ25" s="121"/>
      <c r="BA25" s="150"/>
      <c r="BB25" s="158"/>
      <c r="BC25" s="124"/>
      <c r="BD25" s="159"/>
      <c r="BE25" s="167"/>
      <c r="BF25" s="85"/>
      <c r="BG25" s="168"/>
      <c r="BH25" s="175"/>
      <c r="BI25" s="127"/>
      <c r="BJ25" s="176"/>
      <c r="BK25" s="184"/>
      <c r="BL25" s="130"/>
      <c r="BM25" s="185"/>
      <c r="BN25" s="69"/>
      <c r="BO25" s="85"/>
      <c r="BP25" s="85"/>
      <c r="BQ25" s="85"/>
      <c r="BR25" s="85"/>
      <c r="BS25" s="85"/>
      <c r="BT25" s="85"/>
      <c r="BU25" s="87"/>
      <c r="BV25" s="87"/>
      <c r="BW25" s="87"/>
      <c r="BX25" s="87"/>
      <c r="BY25" s="87"/>
      <c r="BZ25" s="87"/>
      <c r="CA25" s="90"/>
      <c r="CB25" s="90"/>
      <c r="CC25" s="90"/>
      <c r="CD25" s="90"/>
      <c r="CE25" s="90"/>
      <c r="CF25" s="90"/>
      <c r="CG25" s="85"/>
      <c r="CH25" s="85"/>
      <c r="CI25" s="85"/>
      <c r="CJ25" s="85"/>
      <c r="CK25" s="85"/>
      <c r="CL25" s="87"/>
      <c r="CM25" s="87"/>
      <c r="CN25" s="87"/>
      <c r="CO25" s="87"/>
      <c r="CP25" s="90"/>
      <c r="CQ25" s="90"/>
      <c r="CR25" s="90"/>
      <c r="CS25" s="90"/>
      <c r="CT25" s="85"/>
      <c r="CU25" s="85"/>
      <c r="CV25" s="85"/>
      <c r="CW25" s="85"/>
      <c r="CX25" s="85"/>
      <c r="CY25" s="85"/>
      <c r="CZ25" s="85"/>
      <c r="DA25" s="33"/>
    </row>
    <row r="26" spans="13:105" ht="19" x14ac:dyDescent="0.25">
      <c r="M26" s="74"/>
      <c r="U26" s="79"/>
      <c r="V26" s="118"/>
      <c r="W26" s="121"/>
      <c r="X26" s="124"/>
      <c r="Y26" s="85"/>
      <c r="Z26" s="127"/>
      <c r="AA26" s="130"/>
      <c r="AI26" s="71"/>
      <c r="AJ26" s="63"/>
      <c r="AK26" s="20"/>
      <c r="AL26" s="21"/>
      <c r="AM26" s="22"/>
      <c r="AN26" s="23"/>
      <c r="AO26" s="24"/>
      <c r="AP26" s="25"/>
      <c r="AQ26" s="26"/>
      <c r="AR26" s="27"/>
      <c r="AS26" s="192"/>
      <c r="AT26" s="111"/>
      <c r="AU26" s="193"/>
      <c r="AV26" s="140"/>
      <c r="AW26" s="118"/>
      <c r="AX26" s="141"/>
      <c r="AY26" s="149"/>
      <c r="AZ26" s="121"/>
      <c r="BA26" s="150"/>
      <c r="BB26" s="158"/>
      <c r="BC26" s="124"/>
      <c r="BD26" s="159"/>
      <c r="BE26" s="167"/>
      <c r="BF26" s="85"/>
      <c r="BG26" s="168"/>
      <c r="BH26" s="175"/>
      <c r="BI26" s="127"/>
      <c r="BJ26" s="176"/>
      <c r="BK26" s="184"/>
      <c r="BL26" s="130"/>
      <c r="BM26" s="185"/>
      <c r="BN26" s="69"/>
      <c r="BO26" s="85"/>
      <c r="BP26" s="85"/>
      <c r="BQ26" s="85"/>
      <c r="BR26" s="85"/>
      <c r="BS26" s="85"/>
      <c r="BT26" s="85"/>
      <c r="BU26" s="87"/>
      <c r="BV26" s="87"/>
      <c r="BW26" s="87"/>
      <c r="BX26" s="87"/>
      <c r="BY26" s="87"/>
      <c r="BZ26" s="87"/>
      <c r="CA26" s="90"/>
      <c r="CB26" s="90"/>
      <c r="CC26" s="90"/>
      <c r="CD26" s="90"/>
      <c r="CE26" s="90"/>
      <c r="CF26" s="90"/>
      <c r="CG26" s="85"/>
      <c r="CH26" s="85"/>
      <c r="CI26" s="85"/>
      <c r="CJ26" s="85"/>
      <c r="CK26" s="85"/>
      <c r="CL26" s="87"/>
      <c r="CM26" s="87"/>
      <c r="CN26" s="87"/>
      <c r="CO26" s="87"/>
      <c r="CP26" s="90"/>
      <c r="CQ26" s="90"/>
      <c r="CR26" s="90"/>
      <c r="CS26" s="90"/>
      <c r="CT26" s="85"/>
      <c r="CU26" s="85"/>
      <c r="CV26" s="85"/>
      <c r="CW26" s="85"/>
      <c r="CX26" s="85"/>
      <c r="CY26" s="85"/>
      <c r="CZ26" s="85"/>
      <c r="DA26" s="33"/>
    </row>
    <row r="27" spans="13:105" ht="19" x14ac:dyDescent="0.25">
      <c r="M27" s="74"/>
      <c r="U27" s="79"/>
      <c r="V27" s="118"/>
      <c r="W27" s="121"/>
      <c r="X27" s="124"/>
      <c r="Y27" s="85"/>
      <c r="Z27" s="127"/>
      <c r="AA27" s="130"/>
      <c r="AI27" s="71"/>
      <c r="AJ27" s="63"/>
      <c r="AK27" s="20"/>
      <c r="AL27" s="21"/>
      <c r="AM27" s="22"/>
      <c r="AN27" s="23"/>
      <c r="AO27" s="24"/>
      <c r="AP27" s="25"/>
      <c r="AQ27" s="26"/>
      <c r="AR27" s="27"/>
      <c r="AS27" s="192"/>
      <c r="AT27" s="111"/>
      <c r="AU27" s="193"/>
      <c r="AV27" s="140"/>
      <c r="AW27" s="118"/>
      <c r="AX27" s="141"/>
      <c r="AY27" s="149"/>
      <c r="AZ27" s="121"/>
      <c r="BA27" s="150"/>
      <c r="BB27" s="158"/>
      <c r="BC27" s="124"/>
      <c r="BD27" s="159"/>
      <c r="BE27" s="167"/>
      <c r="BF27" s="85"/>
      <c r="BG27" s="168"/>
      <c r="BH27" s="175"/>
      <c r="BI27" s="127"/>
      <c r="BJ27" s="176"/>
      <c r="BK27" s="184"/>
      <c r="BL27" s="130"/>
      <c r="BM27" s="185"/>
      <c r="BN27" s="69"/>
      <c r="BO27" s="85"/>
      <c r="BP27" s="85"/>
      <c r="BQ27" s="85"/>
      <c r="BR27" s="85"/>
      <c r="BS27" s="85"/>
      <c r="BT27" s="85"/>
      <c r="BU27" s="87"/>
      <c r="BV27" s="87"/>
      <c r="BW27" s="87"/>
      <c r="BX27" s="87"/>
      <c r="BY27" s="87"/>
      <c r="BZ27" s="87"/>
      <c r="CA27" s="90"/>
      <c r="CB27" s="90"/>
      <c r="CC27" s="90"/>
      <c r="CD27" s="90"/>
      <c r="CE27" s="90"/>
      <c r="CF27" s="90"/>
      <c r="CG27" s="85"/>
      <c r="CH27" s="85"/>
      <c r="CI27" s="85"/>
      <c r="CJ27" s="85"/>
      <c r="CK27" s="85"/>
      <c r="CL27" s="87"/>
      <c r="CM27" s="87"/>
      <c r="CN27" s="87"/>
      <c r="CO27" s="87"/>
      <c r="CP27" s="90"/>
      <c r="CQ27" s="90"/>
      <c r="CR27" s="90"/>
      <c r="CS27" s="90"/>
      <c r="CT27" s="85"/>
      <c r="CU27" s="85"/>
      <c r="CV27" s="85"/>
      <c r="CW27" s="85"/>
      <c r="CX27" s="85"/>
      <c r="CY27" s="85"/>
      <c r="CZ27" s="85"/>
      <c r="DA27" s="33"/>
    </row>
    <row r="28" spans="13:105" ht="19" x14ac:dyDescent="0.25">
      <c r="M28" s="74"/>
      <c r="U28" s="79"/>
      <c r="V28" s="118"/>
      <c r="W28" s="121"/>
      <c r="X28" s="124"/>
      <c r="Y28" s="85"/>
      <c r="Z28" s="127"/>
      <c r="AA28" s="130"/>
      <c r="AI28" s="71"/>
      <c r="AJ28" s="63"/>
      <c r="AK28" s="20"/>
      <c r="AL28" s="21"/>
      <c r="AM28" s="22"/>
      <c r="AN28" s="23"/>
      <c r="AO28" s="24"/>
      <c r="AP28" s="25"/>
      <c r="AQ28" s="26"/>
      <c r="AR28" s="27"/>
      <c r="AS28" s="192"/>
      <c r="AT28" s="111"/>
      <c r="AU28" s="193"/>
      <c r="AV28" s="140"/>
      <c r="AW28" s="118"/>
      <c r="AX28" s="141"/>
      <c r="AY28" s="149"/>
      <c r="AZ28" s="121"/>
      <c r="BA28" s="150"/>
      <c r="BB28" s="158"/>
      <c r="BC28" s="124"/>
      <c r="BD28" s="159"/>
      <c r="BE28" s="167"/>
      <c r="BF28" s="85"/>
      <c r="BG28" s="168"/>
      <c r="BH28" s="175"/>
      <c r="BI28" s="127"/>
      <c r="BJ28" s="176"/>
      <c r="BK28" s="184"/>
      <c r="BL28" s="130"/>
      <c r="BM28" s="185"/>
      <c r="BN28" s="69"/>
      <c r="BO28" s="85"/>
      <c r="BP28" s="85"/>
      <c r="BQ28" s="85"/>
      <c r="BR28" s="85"/>
      <c r="BS28" s="85"/>
      <c r="BT28" s="85"/>
      <c r="BU28" s="87"/>
      <c r="BV28" s="87"/>
      <c r="BW28" s="87"/>
      <c r="BX28" s="87"/>
      <c r="BY28" s="87"/>
      <c r="BZ28" s="87"/>
      <c r="CA28" s="90"/>
      <c r="CB28" s="90"/>
      <c r="CC28" s="90"/>
      <c r="CD28" s="90"/>
      <c r="CE28" s="90"/>
      <c r="CF28" s="90"/>
      <c r="CG28" s="85"/>
      <c r="CH28" s="85"/>
      <c r="CI28" s="85"/>
      <c r="CJ28" s="85"/>
      <c r="CK28" s="85"/>
      <c r="CL28" s="87"/>
      <c r="CM28" s="87"/>
      <c r="CN28" s="87"/>
      <c r="CO28" s="87"/>
      <c r="CP28" s="90"/>
      <c r="CQ28" s="90"/>
      <c r="CR28" s="90"/>
      <c r="CS28" s="90"/>
      <c r="CT28" s="85"/>
      <c r="CU28" s="85"/>
      <c r="CV28" s="85"/>
      <c r="CW28" s="85"/>
      <c r="CX28" s="85"/>
      <c r="CY28" s="85"/>
      <c r="CZ28" s="85"/>
      <c r="DA28" s="33"/>
    </row>
    <row r="29" spans="13:105" ht="19" x14ac:dyDescent="0.25">
      <c r="M29" s="74"/>
      <c r="U29" s="79"/>
      <c r="V29" s="118"/>
      <c r="W29" s="121"/>
      <c r="X29" s="124"/>
      <c r="Y29" s="85"/>
      <c r="Z29" s="127"/>
      <c r="AA29" s="130"/>
      <c r="AI29" s="71"/>
      <c r="AJ29" s="63"/>
      <c r="AK29" s="20"/>
      <c r="AL29" s="21"/>
      <c r="AM29" s="22"/>
      <c r="AN29" s="23"/>
      <c r="AO29" s="24"/>
      <c r="AP29" s="25"/>
      <c r="AQ29" s="26"/>
      <c r="AR29" s="27"/>
      <c r="AS29" s="192"/>
      <c r="AT29" s="111"/>
      <c r="AU29" s="193"/>
      <c r="AV29" s="140"/>
      <c r="AW29" s="118"/>
      <c r="AX29" s="141"/>
      <c r="AY29" s="149"/>
      <c r="AZ29" s="121"/>
      <c r="BA29" s="150"/>
      <c r="BB29" s="158"/>
      <c r="BC29" s="124"/>
      <c r="BD29" s="159"/>
      <c r="BE29" s="167"/>
      <c r="BF29" s="85"/>
      <c r="BG29" s="168"/>
      <c r="BH29" s="175"/>
      <c r="BI29" s="127"/>
      <c r="BJ29" s="176"/>
      <c r="BK29" s="184"/>
      <c r="BL29" s="130"/>
      <c r="BM29" s="185"/>
      <c r="BN29" s="69"/>
      <c r="BO29" s="85"/>
      <c r="BP29" s="85"/>
      <c r="BQ29" s="85"/>
      <c r="BR29" s="85"/>
      <c r="BS29" s="85"/>
      <c r="BT29" s="85"/>
      <c r="BU29" s="87"/>
      <c r="BV29" s="87"/>
      <c r="BW29" s="87"/>
      <c r="BX29" s="87"/>
      <c r="BY29" s="87"/>
      <c r="BZ29" s="87"/>
      <c r="CA29" s="90"/>
      <c r="CB29" s="90"/>
      <c r="CC29" s="90"/>
      <c r="CD29" s="90"/>
      <c r="CE29" s="90"/>
      <c r="CF29" s="90"/>
      <c r="CG29" s="85"/>
      <c r="CH29" s="85"/>
      <c r="CI29" s="85"/>
      <c r="CJ29" s="85"/>
      <c r="CK29" s="85"/>
      <c r="CL29" s="87"/>
      <c r="CM29" s="87"/>
      <c r="CN29" s="87"/>
      <c r="CO29" s="87"/>
      <c r="CP29" s="90"/>
      <c r="CQ29" s="90"/>
      <c r="CR29" s="90"/>
      <c r="CS29" s="90"/>
      <c r="CT29" s="85"/>
      <c r="CU29" s="85"/>
      <c r="CV29" s="85"/>
      <c r="CW29" s="85"/>
      <c r="CX29" s="85"/>
      <c r="CY29" s="85"/>
      <c r="CZ29" s="85"/>
      <c r="DA29" s="33"/>
    </row>
    <row r="30" spans="13:105" ht="19" x14ac:dyDescent="0.25">
      <c r="M30" s="74"/>
      <c r="U30" s="79"/>
      <c r="V30" s="118"/>
      <c r="W30" s="121"/>
      <c r="X30" s="124"/>
      <c r="Y30" s="85"/>
      <c r="Z30" s="127"/>
      <c r="AA30" s="130"/>
      <c r="AI30" s="71"/>
      <c r="AJ30" s="63"/>
      <c r="AK30" s="20"/>
      <c r="AL30" s="21"/>
      <c r="AM30" s="22"/>
      <c r="AN30" s="23"/>
      <c r="AO30" s="24"/>
      <c r="AP30" s="25"/>
      <c r="AQ30" s="26"/>
      <c r="AR30" s="27"/>
      <c r="AS30" s="192"/>
      <c r="AT30" s="111"/>
      <c r="AU30" s="193"/>
      <c r="AV30" s="140"/>
      <c r="AW30" s="118"/>
      <c r="AX30" s="141"/>
      <c r="AY30" s="149"/>
      <c r="AZ30" s="121"/>
      <c r="BA30" s="150"/>
      <c r="BB30" s="158"/>
      <c r="BC30" s="124"/>
      <c r="BD30" s="159"/>
      <c r="BE30" s="167"/>
      <c r="BF30" s="85"/>
      <c r="BG30" s="168"/>
      <c r="BH30" s="175"/>
      <c r="BI30" s="127"/>
      <c r="BJ30" s="176"/>
      <c r="BK30" s="184"/>
      <c r="BL30" s="130"/>
      <c r="BM30" s="185"/>
      <c r="BN30" s="69"/>
      <c r="BO30" s="85"/>
      <c r="BP30" s="85"/>
      <c r="BQ30" s="85"/>
      <c r="BR30" s="85"/>
      <c r="BS30" s="85"/>
      <c r="BT30" s="85"/>
      <c r="BU30" s="87"/>
      <c r="BV30" s="87"/>
      <c r="BW30" s="87"/>
      <c r="BX30" s="87"/>
      <c r="BY30" s="87"/>
      <c r="BZ30" s="87"/>
      <c r="CA30" s="90"/>
      <c r="CB30" s="90"/>
      <c r="CC30" s="90"/>
      <c r="CD30" s="90"/>
      <c r="CE30" s="90"/>
      <c r="CF30" s="90"/>
      <c r="CG30" s="85"/>
      <c r="CH30" s="85"/>
      <c r="CI30" s="85"/>
      <c r="CJ30" s="85"/>
      <c r="CK30" s="85"/>
      <c r="CL30" s="87"/>
      <c r="CM30" s="87"/>
      <c r="CN30" s="87"/>
      <c r="CO30" s="87"/>
      <c r="CP30" s="90"/>
      <c r="CQ30" s="90"/>
      <c r="CR30" s="90"/>
      <c r="CS30" s="90"/>
      <c r="CT30" s="85"/>
      <c r="CU30" s="85"/>
      <c r="CV30" s="85"/>
      <c r="CW30" s="85"/>
      <c r="CX30" s="85"/>
      <c r="CY30" s="85"/>
      <c r="CZ30" s="85"/>
      <c r="DA30" s="33"/>
    </row>
    <row r="31" spans="13:105" ht="19" x14ac:dyDescent="0.25">
      <c r="M31" s="74"/>
      <c r="U31" s="79"/>
      <c r="V31" s="118"/>
      <c r="W31" s="121"/>
      <c r="X31" s="124"/>
      <c r="Y31" s="85"/>
      <c r="Z31" s="127"/>
      <c r="AA31" s="130"/>
      <c r="AI31" s="71"/>
      <c r="AJ31" s="63"/>
      <c r="AK31" s="20"/>
      <c r="AL31" s="21"/>
      <c r="AM31" s="22"/>
      <c r="AN31" s="23"/>
      <c r="AO31" s="24"/>
      <c r="AP31" s="25"/>
      <c r="AQ31" s="26"/>
      <c r="AR31" s="27"/>
      <c r="AS31" s="192"/>
      <c r="AT31" s="111"/>
      <c r="AU31" s="193"/>
      <c r="AV31" s="140"/>
      <c r="AW31" s="118"/>
      <c r="AX31" s="141"/>
      <c r="AY31" s="149"/>
      <c r="AZ31" s="121"/>
      <c r="BA31" s="150"/>
      <c r="BB31" s="158"/>
      <c r="BC31" s="124"/>
      <c r="BD31" s="159"/>
      <c r="BE31" s="167"/>
      <c r="BF31" s="85"/>
      <c r="BG31" s="168"/>
      <c r="BH31" s="175"/>
      <c r="BI31" s="127"/>
      <c r="BJ31" s="176"/>
      <c r="BK31" s="184"/>
      <c r="BL31" s="130"/>
      <c r="BM31" s="185"/>
      <c r="BN31" s="69"/>
      <c r="BO31" s="85"/>
      <c r="BP31" s="85"/>
      <c r="BQ31" s="85"/>
      <c r="BR31" s="85"/>
      <c r="BS31" s="85"/>
      <c r="BT31" s="85"/>
      <c r="BU31" s="87"/>
      <c r="BV31" s="87"/>
      <c r="BW31" s="87"/>
      <c r="BX31" s="87"/>
      <c r="BY31" s="87"/>
      <c r="BZ31" s="87"/>
      <c r="CA31" s="90"/>
      <c r="CB31" s="90"/>
      <c r="CC31" s="90"/>
      <c r="CD31" s="90"/>
      <c r="CE31" s="90"/>
      <c r="CF31" s="90"/>
      <c r="CG31" s="85"/>
      <c r="CH31" s="85"/>
      <c r="CI31" s="85"/>
      <c r="CJ31" s="85"/>
      <c r="CK31" s="85"/>
      <c r="CL31" s="87"/>
      <c r="CM31" s="87"/>
      <c r="CN31" s="87"/>
      <c r="CO31" s="87"/>
      <c r="CP31" s="90"/>
      <c r="CQ31" s="90"/>
      <c r="CR31" s="90"/>
      <c r="CS31" s="90"/>
      <c r="CT31" s="85"/>
      <c r="CU31" s="85"/>
      <c r="CV31" s="85"/>
      <c r="CW31" s="85"/>
      <c r="CX31" s="85"/>
      <c r="CY31" s="85"/>
      <c r="CZ31" s="85"/>
      <c r="DA31" s="33"/>
    </row>
    <row r="32" spans="13:105" ht="19" x14ac:dyDescent="0.25">
      <c r="M32" s="74"/>
      <c r="U32" s="79"/>
      <c r="V32" s="118"/>
      <c r="W32" s="121"/>
      <c r="X32" s="124"/>
      <c r="Y32" s="85"/>
      <c r="Z32" s="127"/>
      <c r="AA32" s="130"/>
      <c r="AI32" s="71"/>
      <c r="AJ32" s="63"/>
      <c r="AK32" s="20"/>
      <c r="AL32" s="21"/>
      <c r="AM32" s="22"/>
      <c r="AN32" s="23"/>
      <c r="AO32" s="24"/>
      <c r="AP32" s="25"/>
      <c r="AQ32" s="26"/>
      <c r="AR32" s="27"/>
      <c r="AS32" s="192"/>
      <c r="AT32" s="111"/>
      <c r="AU32" s="193"/>
      <c r="AV32" s="140"/>
      <c r="AW32" s="118"/>
      <c r="AX32" s="141"/>
      <c r="AY32" s="149"/>
      <c r="AZ32" s="121"/>
      <c r="BA32" s="150"/>
      <c r="BB32" s="158"/>
      <c r="BC32" s="124"/>
      <c r="BD32" s="159"/>
      <c r="BE32" s="167"/>
      <c r="BF32" s="85"/>
      <c r="BG32" s="168"/>
      <c r="BH32" s="175"/>
      <c r="BI32" s="127"/>
      <c r="BJ32" s="176"/>
      <c r="BK32" s="184"/>
      <c r="BL32" s="130"/>
      <c r="BM32" s="185"/>
      <c r="BN32" s="69"/>
      <c r="BO32" s="85"/>
      <c r="BP32" s="85"/>
      <c r="BQ32" s="85"/>
      <c r="BR32" s="85"/>
      <c r="BS32" s="85"/>
      <c r="BT32" s="85"/>
      <c r="BU32" s="87"/>
      <c r="BV32" s="87"/>
      <c r="BW32" s="87"/>
      <c r="BX32" s="87"/>
      <c r="BY32" s="87"/>
      <c r="BZ32" s="87"/>
      <c r="CA32" s="90"/>
      <c r="CB32" s="90"/>
      <c r="CC32" s="90"/>
      <c r="CD32" s="90"/>
      <c r="CE32" s="90"/>
      <c r="CF32" s="90"/>
      <c r="CG32" s="85"/>
      <c r="CH32" s="85"/>
      <c r="CI32" s="85"/>
      <c r="CJ32" s="85"/>
      <c r="CK32" s="85"/>
      <c r="CL32" s="87"/>
      <c r="CM32" s="87"/>
      <c r="CN32" s="87"/>
      <c r="CO32" s="87"/>
      <c r="CP32" s="90"/>
      <c r="CQ32" s="90"/>
      <c r="CR32" s="90"/>
      <c r="CS32" s="90"/>
      <c r="CT32" s="85"/>
      <c r="CU32" s="85"/>
      <c r="CV32" s="85"/>
      <c r="CW32" s="85"/>
      <c r="CX32" s="85"/>
      <c r="CY32" s="85"/>
      <c r="CZ32" s="85"/>
      <c r="DA32" s="33"/>
    </row>
    <row r="33" spans="21:105" ht="19" x14ac:dyDescent="0.25">
      <c r="U33" s="79"/>
      <c r="V33" s="118"/>
      <c r="W33" s="121"/>
      <c r="X33" s="124"/>
      <c r="Y33" s="85"/>
      <c r="Z33" s="127"/>
      <c r="AA33" s="130"/>
      <c r="AI33" s="71"/>
      <c r="AJ33" s="63"/>
      <c r="AK33" s="20"/>
      <c r="AL33" s="21"/>
      <c r="AM33" s="22"/>
      <c r="AN33" s="23"/>
      <c r="AO33" s="24"/>
      <c r="AP33" s="25"/>
      <c r="AQ33" s="26"/>
      <c r="AR33" s="27"/>
      <c r="AS33" s="192"/>
      <c r="AT33" s="111"/>
      <c r="AU33" s="193"/>
      <c r="AV33" s="140"/>
      <c r="AW33" s="118"/>
      <c r="AX33" s="141"/>
      <c r="AY33" s="149"/>
      <c r="AZ33" s="121"/>
      <c r="BA33" s="150"/>
      <c r="BB33" s="158"/>
      <c r="BC33" s="124"/>
      <c r="BD33" s="159"/>
      <c r="BE33" s="167"/>
      <c r="BF33" s="85"/>
      <c r="BG33" s="168"/>
      <c r="BH33" s="175"/>
      <c r="BI33" s="127"/>
      <c r="BJ33" s="176"/>
      <c r="BK33" s="184"/>
      <c r="BL33" s="130"/>
      <c r="BM33" s="185"/>
      <c r="BN33" s="69"/>
      <c r="BO33" s="85"/>
      <c r="BP33" s="85"/>
      <c r="BQ33" s="85"/>
      <c r="BR33" s="85"/>
      <c r="BS33" s="85"/>
      <c r="BT33" s="85"/>
      <c r="BU33" s="87"/>
      <c r="BV33" s="87"/>
      <c r="BW33" s="87"/>
      <c r="BX33" s="87"/>
      <c r="BY33" s="87"/>
      <c r="BZ33" s="87"/>
      <c r="CA33" s="90"/>
      <c r="CB33" s="90"/>
      <c r="CC33" s="90"/>
      <c r="CD33" s="90"/>
      <c r="CE33" s="90"/>
      <c r="CF33" s="90"/>
      <c r="CG33" s="85"/>
      <c r="CH33" s="85"/>
      <c r="CI33" s="85"/>
      <c r="CJ33" s="85"/>
      <c r="CK33" s="85"/>
      <c r="CL33" s="87"/>
      <c r="CM33" s="87"/>
      <c r="CN33" s="87"/>
      <c r="CO33" s="87"/>
      <c r="CP33" s="90"/>
      <c r="CQ33" s="90"/>
      <c r="CR33" s="90"/>
      <c r="CS33" s="90"/>
      <c r="CT33" s="85"/>
      <c r="CU33" s="85"/>
      <c r="CV33" s="85"/>
      <c r="CW33" s="85"/>
      <c r="CX33" s="85"/>
      <c r="CY33" s="85"/>
      <c r="CZ33" s="85"/>
      <c r="DA33" s="33"/>
    </row>
    <row r="34" spans="21:105" ht="19" x14ac:dyDescent="0.25">
      <c r="U34" s="79"/>
      <c r="V34" s="118"/>
      <c r="W34" s="121"/>
      <c r="X34" s="124"/>
      <c r="Y34" s="85"/>
      <c r="Z34" s="127"/>
      <c r="AA34" s="130"/>
      <c r="AI34" s="71"/>
      <c r="AJ34" s="63"/>
      <c r="AK34" s="20"/>
      <c r="AL34" s="21"/>
      <c r="AM34" s="22"/>
      <c r="AN34" s="23"/>
      <c r="AO34" s="24"/>
      <c r="AP34" s="25"/>
      <c r="AQ34" s="26"/>
      <c r="AR34" s="27"/>
      <c r="AS34" s="192"/>
      <c r="AT34" s="111"/>
      <c r="AU34" s="193"/>
      <c r="AV34" s="140"/>
      <c r="AW34" s="118"/>
      <c r="AX34" s="141"/>
      <c r="AY34" s="149"/>
      <c r="AZ34" s="121"/>
      <c r="BA34" s="150"/>
      <c r="BB34" s="158"/>
      <c r="BC34" s="124"/>
      <c r="BD34" s="159"/>
      <c r="BE34" s="167"/>
      <c r="BF34" s="85"/>
      <c r="BG34" s="168"/>
      <c r="BH34" s="175"/>
      <c r="BI34" s="127"/>
      <c r="BJ34" s="176"/>
      <c r="BK34" s="184"/>
      <c r="BL34" s="130"/>
      <c r="BM34" s="185"/>
      <c r="BN34" s="69"/>
      <c r="BO34" s="85"/>
      <c r="BP34" s="85"/>
      <c r="BQ34" s="85"/>
      <c r="BR34" s="85"/>
      <c r="BS34" s="85"/>
      <c r="BT34" s="85"/>
      <c r="BU34" s="87"/>
      <c r="BV34" s="87"/>
      <c r="BW34" s="87"/>
      <c r="BX34" s="87"/>
      <c r="BY34" s="87"/>
      <c r="BZ34" s="87"/>
      <c r="CA34" s="90"/>
      <c r="CB34" s="90"/>
      <c r="CC34" s="90"/>
      <c r="CD34" s="90"/>
      <c r="CE34" s="90"/>
      <c r="CF34" s="90"/>
      <c r="CG34" s="85"/>
      <c r="CH34" s="85"/>
      <c r="CI34" s="85"/>
      <c r="CJ34" s="85"/>
      <c r="CK34" s="85"/>
      <c r="CL34" s="87"/>
      <c r="CM34" s="87"/>
      <c r="CN34" s="87"/>
      <c r="CO34" s="87"/>
      <c r="CP34" s="90"/>
      <c r="CQ34" s="90"/>
      <c r="CR34" s="90"/>
      <c r="CS34" s="90"/>
      <c r="CT34" s="85"/>
      <c r="CU34" s="85"/>
      <c r="CV34" s="85"/>
      <c r="CW34" s="85"/>
      <c r="CX34" s="85"/>
      <c r="CY34" s="85"/>
      <c r="CZ34" s="85"/>
      <c r="DA34" s="33"/>
    </row>
    <row r="35" spans="21:105" ht="19" x14ac:dyDescent="0.25">
      <c r="U35" s="79"/>
      <c r="V35" s="118"/>
      <c r="W35" s="121"/>
      <c r="X35" s="124"/>
      <c r="Y35" s="85"/>
      <c r="Z35" s="127"/>
      <c r="AA35" s="130"/>
      <c r="AI35" s="71"/>
      <c r="AJ35" s="63"/>
      <c r="AK35" s="20"/>
      <c r="AL35" s="21"/>
      <c r="AM35" s="22"/>
      <c r="AN35" s="23"/>
      <c r="AO35" s="24"/>
      <c r="AP35" s="25"/>
      <c r="AQ35" s="26"/>
      <c r="AR35" s="27"/>
      <c r="AS35" s="192"/>
      <c r="AT35" s="111"/>
      <c r="AU35" s="193"/>
      <c r="AV35" s="140"/>
      <c r="AW35" s="118"/>
      <c r="AX35" s="141"/>
      <c r="AY35" s="149"/>
      <c r="AZ35" s="121"/>
      <c r="BA35" s="150"/>
      <c r="BB35" s="158"/>
      <c r="BC35" s="124"/>
      <c r="BD35" s="159"/>
      <c r="BE35" s="167"/>
      <c r="BF35" s="85"/>
      <c r="BG35" s="168"/>
      <c r="BH35" s="175"/>
      <c r="BI35" s="127"/>
      <c r="BJ35" s="176"/>
      <c r="BK35" s="184"/>
      <c r="BL35" s="130"/>
      <c r="BM35" s="185"/>
      <c r="BN35" s="69"/>
      <c r="BO35" s="85"/>
      <c r="BP35" s="85"/>
      <c r="BQ35" s="85"/>
      <c r="BR35" s="85"/>
      <c r="BS35" s="85"/>
      <c r="BT35" s="85"/>
      <c r="BU35" s="87"/>
      <c r="BV35" s="87"/>
      <c r="BW35" s="87"/>
      <c r="BX35" s="87"/>
      <c r="BY35" s="87"/>
      <c r="BZ35" s="87"/>
      <c r="CA35" s="90"/>
      <c r="CB35" s="90"/>
      <c r="CC35" s="90"/>
      <c r="CD35" s="90"/>
      <c r="CE35" s="90"/>
      <c r="CF35" s="90"/>
      <c r="CG35" s="85"/>
      <c r="CH35" s="85"/>
      <c r="CI35" s="85"/>
      <c r="CJ35" s="85"/>
      <c r="CK35" s="85"/>
      <c r="CL35" s="87"/>
      <c r="CM35" s="87"/>
      <c r="CN35" s="87"/>
      <c r="CO35" s="87"/>
      <c r="CP35" s="90"/>
      <c r="CQ35" s="90"/>
      <c r="CR35" s="90"/>
      <c r="CS35" s="90"/>
      <c r="CT35" s="85"/>
      <c r="CU35" s="85"/>
      <c r="CV35" s="85"/>
      <c r="CW35" s="85"/>
      <c r="CX35" s="85"/>
      <c r="CY35" s="85"/>
      <c r="CZ35" s="85"/>
      <c r="DA35" s="33"/>
    </row>
    <row r="36" spans="21:105" ht="19" x14ac:dyDescent="0.25">
      <c r="U36" s="79"/>
      <c r="V36" s="118"/>
      <c r="W36" s="121"/>
      <c r="X36" s="124"/>
      <c r="Y36" s="85"/>
      <c r="Z36" s="127"/>
      <c r="AA36" s="130"/>
      <c r="AI36" s="71"/>
      <c r="AJ36" s="63"/>
      <c r="AK36" s="20"/>
      <c r="AL36" s="21"/>
      <c r="AM36" s="22"/>
      <c r="AN36" s="23"/>
      <c r="AO36" s="24"/>
      <c r="AP36" s="25"/>
      <c r="AQ36" s="26"/>
      <c r="AR36" s="27"/>
      <c r="AS36" s="192"/>
      <c r="AT36" s="111"/>
      <c r="AU36" s="193"/>
      <c r="AV36" s="140"/>
      <c r="AW36" s="118"/>
      <c r="AX36" s="141"/>
      <c r="AY36" s="149"/>
      <c r="AZ36" s="121"/>
      <c r="BA36" s="150"/>
      <c r="BB36" s="158"/>
      <c r="BC36" s="124"/>
      <c r="BD36" s="159"/>
      <c r="BE36" s="167"/>
      <c r="BF36" s="85"/>
      <c r="BG36" s="168"/>
      <c r="BH36" s="175"/>
      <c r="BI36" s="127"/>
      <c r="BJ36" s="176"/>
      <c r="BK36" s="184"/>
      <c r="BL36" s="130"/>
      <c r="BM36" s="185"/>
      <c r="BN36" s="69"/>
      <c r="BO36" s="85"/>
      <c r="BP36" s="85"/>
      <c r="BQ36" s="85"/>
      <c r="BR36" s="85"/>
      <c r="BS36" s="85"/>
      <c r="BT36" s="85"/>
      <c r="BU36" s="87"/>
      <c r="BV36" s="87"/>
      <c r="BW36" s="87"/>
      <c r="BX36" s="87"/>
      <c r="BY36" s="87"/>
      <c r="BZ36" s="87"/>
      <c r="CA36" s="90"/>
      <c r="CB36" s="90"/>
      <c r="CC36" s="90"/>
      <c r="CD36" s="90"/>
      <c r="CE36" s="90"/>
      <c r="CF36" s="90"/>
      <c r="CG36" s="85"/>
      <c r="CH36" s="85"/>
      <c r="CI36" s="85"/>
      <c r="CJ36" s="85"/>
      <c r="CK36" s="85"/>
      <c r="CL36" s="87"/>
      <c r="CM36" s="87"/>
      <c r="CN36" s="87"/>
      <c r="CO36" s="87"/>
      <c r="CP36" s="90"/>
      <c r="CQ36" s="90"/>
      <c r="CR36" s="90"/>
      <c r="CS36" s="90"/>
      <c r="CT36" s="85"/>
      <c r="CU36" s="85"/>
      <c r="CV36" s="85"/>
      <c r="CW36" s="85"/>
      <c r="CX36" s="85"/>
      <c r="CY36" s="85"/>
      <c r="CZ36" s="85"/>
      <c r="DA36" s="33"/>
    </row>
    <row r="37" spans="21:105" ht="19" x14ac:dyDescent="0.25">
      <c r="U37" s="79"/>
      <c r="V37" s="118"/>
      <c r="W37" s="121"/>
      <c r="X37" s="124"/>
      <c r="Y37" s="85"/>
      <c r="Z37" s="127"/>
      <c r="AA37" s="130"/>
      <c r="AI37" s="71"/>
      <c r="AJ37" s="63"/>
      <c r="AK37" s="20"/>
      <c r="AL37" s="21"/>
      <c r="AM37" s="22"/>
      <c r="AN37" s="23"/>
      <c r="AO37" s="24"/>
      <c r="AP37" s="25"/>
      <c r="AQ37" s="26"/>
      <c r="AR37" s="27"/>
      <c r="AS37" s="192"/>
      <c r="AT37" s="111"/>
      <c r="AU37" s="193"/>
      <c r="AV37" s="140"/>
      <c r="AW37" s="118"/>
      <c r="AX37" s="141"/>
      <c r="AY37" s="149"/>
      <c r="AZ37" s="121"/>
      <c r="BA37" s="150"/>
      <c r="BB37" s="158"/>
      <c r="BC37" s="124"/>
      <c r="BD37" s="159"/>
      <c r="BE37" s="167"/>
      <c r="BF37" s="85"/>
      <c r="BG37" s="168"/>
      <c r="BH37" s="175"/>
      <c r="BI37" s="127"/>
      <c r="BJ37" s="176"/>
      <c r="BK37" s="184"/>
      <c r="BL37" s="130"/>
      <c r="BM37" s="185"/>
      <c r="BN37" s="69"/>
      <c r="BO37" s="85"/>
      <c r="BP37" s="85"/>
      <c r="BQ37" s="85"/>
      <c r="BR37" s="85"/>
      <c r="BS37" s="85"/>
      <c r="BT37" s="85"/>
      <c r="BU37" s="87"/>
      <c r="BV37" s="87"/>
      <c r="BW37" s="87"/>
      <c r="BX37" s="87"/>
      <c r="BY37" s="87"/>
      <c r="BZ37" s="87"/>
      <c r="CA37" s="90"/>
      <c r="CB37" s="90"/>
      <c r="CC37" s="90"/>
      <c r="CD37" s="90"/>
      <c r="CE37" s="90"/>
      <c r="CF37" s="90"/>
      <c r="CG37" s="85"/>
      <c r="CH37" s="85"/>
      <c r="CI37" s="85"/>
      <c r="CJ37" s="85"/>
      <c r="CK37" s="85"/>
      <c r="CL37" s="87"/>
      <c r="CM37" s="87"/>
      <c r="CN37" s="87"/>
      <c r="CO37" s="87"/>
      <c r="CP37" s="90"/>
      <c r="CQ37" s="90"/>
      <c r="CR37" s="90"/>
      <c r="CS37" s="90"/>
      <c r="CT37" s="85"/>
      <c r="CU37" s="85"/>
      <c r="CV37" s="85"/>
      <c r="CW37" s="85"/>
      <c r="CX37" s="85"/>
      <c r="CY37" s="85"/>
      <c r="CZ37" s="85"/>
      <c r="DA37" s="33"/>
    </row>
    <row r="38" spans="21:105" ht="19" x14ac:dyDescent="0.25">
      <c r="U38" s="79"/>
      <c r="V38" s="118"/>
      <c r="W38" s="121"/>
      <c r="X38" s="124"/>
      <c r="Y38" s="85"/>
      <c r="Z38" s="127"/>
      <c r="AA38" s="130"/>
      <c r="AI38" s="71"/>
      <c r="AJ38" s="63"/>
      <c r="AK38" s="20"/>
      <c r="AL38" s="21"/>
      <c r="AM38" s="22"/>
      <c r="AN38" s="23"/>
      <c r="AO38" s="24"/>
      <c r="AP38" s="25"/>
      <c r="AQ38" s="26"/>
      <c r="AR38" s="27"/>
      <c r="AS38" s="192"/>
      <c r="AT38" s="111"/>
      <c r="AU38" s="193"/>
      <c r="AV38" s="140"/>
      <c r="AW38" s="118"/>
      <c r="AX38" s="141"/>
      <c r="AY38" s="149"/>
      <c r="AZ38" s="121"/>
      <c r="BA38" s="150"/>
      <c r="BB38" s="158"/>
      <c r="BC38" s="124"/>
      <c r="BD38" s="159"/>
      <c r="BE38" s="167"/>
      <c r="BF38" s="85"/>
      <c r="BG38" s="168"/>
      <c r="BH38" s="175"/>
      <c r="BI38" s="127"/>
      <c r="BJ38" s="176"/>
      <c r="BK38" s="184"/>
      <c r="BL38" s="130"/>
      <c r="BM38" s="185"/>
      <c r="BN38" s="69"/>
      <c r="BO38" s="85"/>
      <c r="BP38" s="85"/>
      <c r="BQ38" s="85"/>
      <c r="BR38" s="85"/>
      <c r="BS38" s="85"/>
      <c r="BT38" s="85"/>
      <c r="BU38" s="87"/>
      <c r="BV38" s="87"/>
      <c r="BW38" s="87"/>
      <c r="BX38" s="87"/>
      <c r="BY38" s="87"/>
      <c r="BZ38" s="87"/>
      <c r="CA38" s="90"/>
      <c r="CB38" s="90"/>
      <c r="CC38" s="90"/>
      <c r="CD38" s="90"/>
      <c r="CE38" s="90"/>
      <c r="CF38" s="90"/>
      <c r="CG38" s="85"/>
      <c r="CH38" s="85"/>
      <c r="CI38" s="85"/>
      <c r="CJ38" s="85"/>
      <c r="CK38" s="85"/>
      <c r="CL38" s="87"/>
      <c r="CM38" s="87"/>
      <c r="CN38" s="87"/>
      <c r="CO38" s="87"/>
      <c r="CP38" s="90"/>
      <c r="CQ38" s="90"/>
      <c r="CR38" s="90"/>
      <c r="CS38" s="90"/>
      <c r="CT38" s="85"/>
      <c r="CU38" s="85"/>
      <c r="CV38" s="85"/>
      <c r="CW38" s="85"/>
      <c r="CX38" s="85"/>
      <c r="CY38" s="85"/>
      <c r="CZ38" s="85"/>
      <c r="DA38" s="33"/>
    </row>
    <row r="39" spans="21:105" ht="19" x14ac:dyDescent="0.25">
      <c r="U39" s="79"/>
      <c r="V39" s="118"/>
      <c r="W39" s="121"/>
      <c r="X39" s="124"/>
      <c r="Y39" s="85"/>
      <c r="Z39" s="127"/>
      <c r="AA39" s="130"/>
      <c r="AI39" s="71"/>
      <c r="AJ39" s="63"/>
      <c r="AK39" s="20"/>
      <c r="AL39" s="21"/>
      <c r="AM39" s="22"/>
      <c r="AN39" s="23"/>
      <c r="AO39" s="24"/>
      <c r="AP39" s="25"/>
      <c r="AQ39" s="26"/>
      <c r="AR39" s="27"/>
      <c r="AS39" s="192"/>
      <c r="AT39" s="111"/>
      <c r="AU39" s="193"/>
      <c r="AV39" s="140"/>
      <c r="AW39" s="118"/>
      <c r="AX39" s="141"/>
      <c r="AY39" s="149"/>
      <c r="AZ39" s="121"/>
      <c r="BA39" s="150"/>
      <c r="BB39" s="158"/>
      <c r="BC39" s="124"/>
      <c r="BD39" s="159"/>
      <c r="BE39" s="167"/>
      <c r="BF39" s="85"/>
      <c r="BG39" s="168"/>
      <c r="BH39" s="175"/>
      <c r="BI39" s="127"/>
      <c r="BJ39" s="176"/>
      <c r="BK39" s="184"/>
      <c r="BL39" s="130"/>
      <c r="BM39" s="185"/>
      <c r="BN39" s="69"/>
      <c r="BO39" s="85"/>
      <c r="BP39" s="85"/>
      <c r="BQ39" s="85"/>
      <c r="BR39" s="85"/>
      <c r="BS39" s="85"/>
      <c r="BT39" s="85"/>
      <c r="BU39" s="87"/>
      <c r="BV39" s="87"/>
      <c r="BW39" s="87"/>
      <c r="BX39" s="87"/>
      <c r="BY39" s="87"/>
      <c r="BZ39" s="87"/>
      <c r="CA39" s="90"/>
      <c r="CB39" s="90"/>
      <c r="CC39" s="90"/>
      <c r="CD39" s="90"/>
      <c r="CE39" s="90"/>
      <c r="CF39" s="90"/>
      <c r="CG39" s="85"/>
      <c r="CH39" s="85"/>
      <c r="CI39" s="85"/>
      <c r="CJ39" s="85"/>
      <c r="CK39" s="85"/>
      <c r="CL39" s="87"/>
      <c r="CM39" s="87"/>
      <c r="CN39" s="87"/>
      <c r="CO39" s="87"/>
      <c r="CP39" s="90"/>
      <c r="CQ39" s="90"/>
      <c r="CR39" s="90"/>
      <c r="CS39" s="90"/>
      <c r="CT39" s="85"/>
      <c r="CU39" s="85"/>
      <c r="CV39" s="85"/>
      <c r="CW39" s="85"/>
      <c r="CX39" s="85"/>
      <c r="CY39" s="85"/>
      <c r="CZ39" s="85"/>
      <c r="DA39" s="33"/>
    </row>
    <row r="40" spans="21:105" ht="19" x14ac:dyDescent="0.25">
      <c r="U40" s="79"/>
      <c r="V40" s="118"/>
      <c r="W40" s="121"/>
      <c r="X40" s="124"/>
      <c r="Y40" s="85"/>
      <c r="Z40" s="127"/>
      <c r="AA40" s="130"/>
      <c r="AI40" s="71"/>
      <c r="AJ40" s="63"/>
      <c r="AK40" s="20"/>
      <c r="AL40" s="21"/>
      <c r="AM40" s="22"/>
      <c r="AN40" s="23"/>
      <c r="AO40" s="24"/>
      <c r="AP40" s="25"/>
      <c r="AQ40" s="26"/>
      <c r="AR40" s="27"/>
      <c r="AS40" s="192"/>
      <c r="AT40" s="111"/>
      <c r="AU40" s="193"/>
      <c r="AV40" s="140"/>
      <c r="AW40" s="118"/>
      <c r="AX40" s="141"/>
      <c r="AY40" s="149"/>
      <c r="AZ40" s="121"/>
      <c r="BA40" s="150"/>
      <c r="BB40" s="158"/>
      <c r="BC40" s="124"/>
      <c r="BD40" s="159"/>
      <c r="BE40" s="167"/>
      <c r="BF40" s="85"/>
      <c r="BG40" s="168"/>
      <c r="BH40" s="175"/>
      <c r="BI40" s="127"/>
      <c r="BJ40" s="176"/>
      <c r="BK40" s="184"/>
      <c r="BL40" s="130"/>
      <c r="BM40" s="185"/>
      <c r="BN40" s="69"/>
      <c r="BO40" s="85"/>
      <c r="BP40" s="85"/>
      <c r="BQ40" s="85"/>
      <c r="BR40" s="85"/>
      <c r="BS40" s="85"/>
      <c r="BT40" s="85"/>
      <c r="BU40" s="87"/>
      <c r="BV40" s="87"/>
      <c r="BW40" s="87"/>
      <c r="BX40" s="87"/>
      <c r="BY40" s="87"/>
      <c r="BZ40" s="87"/>
      <c r="CA40" s="90"/>
      <c r="CB40" s="90"/>
      <c r="CC40" s="90"/>
      <c r="CD40" s="90"/>
      <c r="CE40" s="90"/>
      <c r="CF40" s="90"/>
      <c r="CG40" s="85"/>
      <c r="CH40" s="85"/>
      <c r="CI40" s="85"/>
      <c r="CJ40" s="85"/>
      <c r="CK40" s="85"/>
      <c r="CL40" s="87"/>
      <c r="CM40" s="87"/>
      <c r="CN40" s="87"/>
      <c r="CO40" s="87"/>
      <c r="CP40" s="90"/>
      <c r="CQ40" s="90"/>
      <c r="CR40" s="90"/>
      <c r="CS40" s="90"/>
      <c r="CT40" s="85"/>
      <c r="CU40" s="85"/>
      <c r="CV40" s="85"/>
      <c r="CW40" s="85"/>
      <c r="CX40" s="85"/>
      <c r="CY40" s="85"/>
      <c r="CZ40" s="85"/>
      <c r="DA40" s="33"/>
    </row>
    <row r="41" spans="21:105" ht="19" x14ac:dyDescent="0.25">
      <c r="U41" s="79"/>
      <c r="V41" s="118"/>
      <c r="W41" s="121"/>
      <c r="X41" s="124"/>
      <c r="Y41" s="85"/>
      <c r="Z41" s="127"/>
      <c r="AA41" s="130"/>
      <c r="AI41" s="71"/>
      <c r="AJ41" s="63"/>
      <c r="AK41" s="20"/>
      <c r="AL41" s="21"/>
      <c r="AM41" s="22"/>
      <c r="AN41" s="23"/>
      <c r="AO41" s="24"/>
      <c r="AP41" s="25"/>
      <c r="AQ41" s="26"/>
      <c r="AR41" s="27"/>
      <c r="AS41" s="192"/>
      <c r="AT41" s="111"/>
      <c r="AU41" s="193"/>
      <c r="AV41" s="140"/>
      <c r="AW41" s="118"/>
      <c r="AX41" s="141"/>
      <c r="AY41" s="149"/>
      <c r="AZ41" s="121"/>
      <c r="BA41" s="150"/>
      <c r="BB41" s="158"/>
      <c r="BC41" s="124"/>
      <c r="BD41" s="159"/>
      <c r="BE41" s="167"/>
      <c r="BF41" s="85"/>
      <c r="BG41" s="168"/>
      <c r="BH41" s="175"/>
      <c r="BI41" s="127"/>
      <c r="BJ41" s="176"/>
      <c r="BK41" s="184"/>
      <c r="BL41" s="130"/>
      <c r="BM41" s="185"/>
      <c r="BN41" s="69"/>
      <c r="BO41" s="85"/>
      <c r="BP41" s="85"/>
      <c r="BQ41" s="85"/>
      <c r="BR41" s="85"/>
      <c r="BS41" s="85"/>
      <c r="BT41" s="85"/>
      <c r="BU41" s="87"/>
      <c r="BV41" s="87"/>
      <c r="BW41" s="87"/>
      <c r="BX41" s="87"/>
      <c r="BY41" s="87"/>
      <c r="BZ41" s="87"/>
      <c r="CA41" s="90"/>
      <c r="CB41" s="90"/>
      <c r="CC41" s="90"/>
      <c r="CD41" s="90"/>
      <c r="CE41" s="90"/>
      <c r="CF41" s="90"/>
      <c r="CG41" s="85"/>
      <c r="CH41" s="85"/>
      <c r="CI41" s="85"/>
      <c r="CJ41" s="85"/>
      <c r="CK41" s="85"/>
      <c r="CL41" s="87"/>
      <c r="CM41" s="87"/>
      <c r="CN41" s="87"/>
      <c r="CO41" s="87"/>
      <c r="CP41" s="90"/>
      <c r="CQ41" s="90"/>
      <c r="CR41" s="90"/>
      <c r="CS41" s="90"/>
      <c r="CT41" s="85"/>
      <c r="CU41" s="85"/>
      <c r="CV41" s="85"/>
      <c r="CW41" s="85"/>
      <c r="CX41" s="85"/>
      <c r="CY41" s="85"/>
      <c r="CZ41" s="85"/>
      <c r="DA41" s="33"/>
    </row>
    <row r="42" spans="21:105" ht="19" x14ac:dyDescent="0.25">
      <c r="U42" s="79"/>
      <c r="V42" s="118"/>
      <c r="W42" s="121"/>
      <c r="X42" s="124"/>
      <c r="Y42" s="85"/>
      <c r="Z42" s="127"/>
      <c r="AA42" s="130"/>
      <c r="AI42" s="71"/>
      <c r="AJ42" s="63"/>
      <c r="AK42" s="20"/>
      <c r="AL42" s="21"/>
      <c r="AM42" s="22"/>
      <c r="AN42" s="23"/>
      <c r="AO42" s="24"/>
      <c r="AP42" s="25"/>
      <c r="AQ42" s="26"/>
      <c r="AR42" s="27"/>
      <c r="AS42" s="192"/>
      <c r="AT42" s="111"/>
      <c r="AU42" s="193"/>
      <c r="AV42" s="140"/>
      <c r="AW42" s="118"/>
      <c r="AX42" s="141"/>
      <c r="AY42" s="149"/>
      <c r="AZ42" s="121"/>
      <c r="BA42" s="150"/>
      <c r="BB42" s="158"/>
      <c r="BC42" s="124"/>
      <c r="BD42" s="159"/>
      <c r="BE42" s="167"/>
      <c r="BF42" s="85"/>
      <c r="BG42" s="168"/>
      <c r="BH42" s="175"/>
      <c r="BI42" s="127"/>
      <c r="BJ42" s="176"/>
      <c r="BK42" s="184"/>
      <c r="BL42" s="130"/>
      <c r="BM42" s="185"/>
      <c r="BN42" s="69"/>
      <c r="BO42" s="85"/>
      <c r="BP42" s="85"/>
      <c r="BQ42" s="85"/>
      <c r="BR42" s="85"/>
      <c r="BS42" s="85"/>
      <c r="BT42" s="85"/>
      <c r="BU42" s="87"/>
      <c r="BV42" s="87"/>
      <c r="BW42" s="87"/>
      <c r="BX42" s="87"/>
      <c r="BY42" s="87"/>
      <c r="BZ42" s="87"/>
      <c r="CA42" s="90"/>
      <c r="CB42" s="90"/>
      <c r="CC42" s="90"/>
      <c r="CD42" s="90"/>
      <c r="CE42" s="90"/>
      <c r="CF42" s="90"/>
      <c r="CG42" s="85"/>
      <c r="CH42" s="85"/>
      <c r="CI42" s="85"/>
      <c r="CJ42" s="85"/>
      <c r="CK42" s="85"/>
      <c r="CL42" s="87"/>
      <c r="CM42" s="87"/>
      <c r="CN42" s="87"/>
      <c r="CO42" s="87"/>
      <c r="CP42" s="90"/>
      <c r="CQ42" s="90"/>
      <c r="CR42" s="90"/>
      <c r="CS42" s="90"/>
      <c r="CT42" s="85"/>
      <c r="CU42" s="85"/>
      <c r="CV42" s="85"/>
      <c r="CW42" s="85"/>
      <c r="CX42" s="85"/>
      <c r="CY42" s="85"/>
      <c r="CZ42" s="85"/>
      <c r="DA42" s="33"/>
    </row>
    <row r="43" spans="21:105" ht="19" x14ac:dyDescent="0.25">
      <c r="U43" s="79"/>
      <c r="V43" s="118"/>
      <c r="W43" s="121"/>
      <c r="X43" s="124"/>
      <c r="Y43" s="85"/>
      <c r="Z43" s="127"/>
      <c r="AA43" s="130"/>
      <c r="AI43" s="71"/>
      <c r="AJ43" s="63"/>
      <c r="AK43" s="20"/>
      <c r="AL43" s="21"/>
      <c r="AM43" s="22"/>
      <c r="AN43" s="23"/>
      <c r="AO43" s="24"/>
      <c r="AP43" s="25"/>
      <c r="AQ43" s="26"/>
      <c r="AR43" s="27"/>
      <c r="AS43" s="192"/>
      <c r="AT43" s="111"/>
      <c r="AU43" s="193"/>
      <c r="AV43" s="140"/>
      <c r="AW43" s="118"/>
      <c r="AX43" s="141"/>
      <c r="AY43" s="149"/>
      <c r="AZ43" s="121"/>
      <c r="BA43" s="150"/>
      <c r="BB43" s="158"/>
      <c r="BC43" s="124"/>
      <c r="BD43" s="159"/>
      <c r="BE43" s="167"/>
      <c r="BF43" s="85"/>
      <c r="BG43" s="168"/>
      <c r="BH43" s="175"/>
      <c r="BI43" s="127"/>
      <c r="BJ43" s="176"/>
      <c r="BK43" s="184"/>
      <c r="BL43" s="130"/>
      <c r="BM43" s="185"/>
      <c r="BN43" s="69"/>
      <c r="BO43" s="85"/>
      <c r="BP43" s="85"/>
      <c r="BQ43" s="85"/>
      <c r="BR43" s="85"/>
      <c r="BS43" s="85"/>
      <c r="BT43" s="85"/>
      <c r="BU43" s="87"/>
      <c r="BV43" s="87"/>
      <c r="BW43" s="87"/>
      <c r="BX43" s="87"/>
      <c r="BY43" s="87"/>
      <c r="BZ43" s="87"/>
      <c r="CA43" s="90"/>
      <c r="CB43" s="90"/>
      <c r="CC43" s="90"/>
      <c r="CD43" s="90"/>
      <c r="CE43" s="90"/>
      <c r="CF43" s="90"/>
      <c r="CG43" s="85"/>
      <c r="CH43" s="85"/>
      <c r="CI43" s="85"/>
      <c r="CJ43" s="85"/>
      <c r="CK43" s="85"/>
      <c r="CL43" s="87"/>
      <c r="CM43" s="87"/>
      <c r="CN43" s="87"/>
      <c r="CO43" s="87"/>
      <c r="CP43" s="90"/>
      <c r="CQ43" s="90"/>
      <c r="CR43" s="90"/>
      <c r="CS43" s="90"/>
      <c r="CT43" s="85"/>
      <c r="CU43" s="85"/>
      <c r="CV43" s="85"/>
      <c r="CW43" s="85"/>
      <c r="CX43" s="85"/>
      <c r="CY43" s="85"/>
      <c r="CZ43" s="85"/>
      <c r="DA43" s="33"/>
    </row>
    <row r="44" spans="21:105" ht="19" x14ac:dyDescent="0.25">
      <c r="U44" s="79"/>
      <c r="V44" s="118"/>
      <c r="W44" s="121"/>
      <c r="X44" s="124"/>
      <c r="Y44" s="85"/>
      <c r="Z44" s="127"/>
      <c r="AA44" s="130"/>
      <c r="AI44" s="71"/>
      <c r="AJ44" s="63"/>
      <c r="AK44" s="20"/>
      <c r="AL44" s="21"/>
      <c r="AM44" s="22"/>
      <c r="AN44" s="23"/>
      <c r="AO44" s="24"/>
      <c r="AP44" s="25"/>
      <c r="AQ44" s="26"/>
      <c r="AR44" s="27"/>
      <c r="AS44" s="192"/>
      <c r="AT44" s="111"/>
      <c r="AU44" s="193"/>
      <c r="AV44" s="140"/>
      <c r="AW44" s="118"/>
      <c r="AX44" s="141"/>
      <c r="AY44" s="149"/>
      <c r="AZ44" s="121"/>
      <c r="BA44" s="150"/>
      <c r="BB44" s="158"/>
      <c r="BC44" s="124"/>
      <c r="BD44" s="159"/>
      <c r="BE44" s="167"/>
      <c r="BF44" s="85"/>
      <c r="BG44" s="168"/>
      <c r="BH44" s="175"/>
      <c r="BI44" s="127"/>
      <c r="BJ44" s="176"/>
      <c r="BK44" s="184"/>
      <c r="BL44" s="130"/>
      <c r="BM44" s="185"/>
      <c r="BN44" s="69"/>
      <c r="BO44" s="85"/>
      <c r="BP44" s="85"/>
      <c r="BQ44" s="85"/>
      <c r="BR44" s="85"/>
      <c r="BS44" s="85"/>
      <c r="BT44" s="85"/>
      <c r="BU44" s="87"/>
      <c r="BV44" s="87"/>
      <c r="BW44" s="87"/>
      <c r="BX44" s="87"/>
      <c r="BY44" s="87"/>
      <c r="BZ44" s="87"/>
      <c r="CA44" s="90"/>
      <c r="CB44" s="90"/>
      <c r="CC44" s="90"/>
      <c r="CD44" s="90"/>
      <c r="CE44" s="90"/>
      <c r="CF44" s="90"/>
      <c r="CG44" s="85"/>
      <c r="CH44" s="85"/>
      <c r="CI44" s="85"/>
      <c r="CJ44" s="85"/>
      <c r="CK44" s="85"/>
      <c r="CL44" s="87"/>
      <c r="CM44" s="87"/>
      <c r="CN44" s="87"/>
      <c r="CO44" s="87"/>
      <c r="CP44" s="90"/>
      <c r="CQ44" s="90"/>
      <c r="CR44" s="90"/>
      <c r="CS44" s="90"/>
      <c r="CT44" s="85"/>
      <c r="CU44" s="85"/>
      <c r="CV44" s="85"/>
      <c r="CW44" s="85"/>
      <c r="CX44" s="85"/>
      <c r="CY44" s="85"/>
      <c r="CZ44" s="85"/>
      <c r="DA44" s="33"/>
    </row>
    <row r="45" spans="21:105" ht="19" x14ac:dyDescent="0.25">
      <c r="U45" s="79"/>
      <c r="V45" s="118"/>
      <c r="W45" s="121"/>
      <c r="X45" s="124"/>
      <c r="Y45" s="85"/>
      <c r="Z45" s="127"/>
      <c r="AA45" s="130"/>
      <c r="AI45" s="71"/>
      <c r="AJ45" s="63"/>
      <c r="AK45" s="20"/>
      <c r="AL45" s="21"/>
      <c r="AM45" s="22"/>
      <c r="AN45" s="23"/>
      <c r="AO45" s="24"/>
      <c r="AP45" s="25"/>
      <c r="AQ45" s="26"/>
      <c r="AR45" s="27"/>
      <c r="AS45" s="192"/>
      <c r="AT45" s="111"/>
      <c r="AU45" s="193"/>
      <c r="AV45" s="140"/>
      <c r="AW45" s="118"/>
      <c r="AX45" s="141"/>
      <c r="AY45" s="149"/>
      <c r="AZ45" s="121"/>
      <c r="BA45" s="150"/>
      <c r="BB45" s="158"/>
      <c r="BC45" s="124"/>
      <c r="BD45" s="159"/>
      <c r="BE45" s="167"/>
      <c r="BF45" s="85"/>
      <c r="BG45" s="168"/>
      <c r="BH45" s="175"/>
      <c r="BI45" s="127"/>
      <c r="BJ45" s="176"/>
      <c r="BK45" s="184"/>
      <c r="BL45" s="130"/>
      <c r="BM45" s="185"/>
      <c r="BN45" s="69"/>
      <c r="BO45" s="85"/>
      <c r="BP45" s="85"/>
      <c r="BQ45" s="85"/>
      <c r="BR45" s="85"/>
      <c r="BS45" s="85"/>
      <c r="BT45" s="85"/>
      <c r="BU45" s="87"/>
      <c r="BV45" s="87"/>
      <c r="BW45" s="87"/>
      <c r="BX45" s="87"/>
      <c r="BY45" s="87"/>
      <c r="BZ45" s="87"/>
      <c r="CA45" s="90"/>
      <c r="CB45" s="90"/>
      <c r="CC45" s="90"/>
      <c r="CD45" s="90"/>
      <c r="CE45" s="90"/>
      <c r="CF45" s="90"/>
      <c r="CG45" s="85"/>
      <c r="CH45" s="85"/>
      <c r="CI45" s="85"/>
      <c r="CJ45" s="85"/>
      <c r="CK45" s="85"/>
      <c r="CL45" s="87"/>
      <c r="CM45" s="87"/>
      <c r="CN45" s="87"/>
      <c r="CO45" s="87"/>
      <c r="CP45" s="90"/>
      <c r="CQ45" s="90"/>
      <c r="CR45" s="90"/>
      <c r="CS45" s="90"/>
      <c r="CT45" s="85"/>
      <c r="CU45" s="85"/>
      <c r="CV45" s="85"/>
      <c r="CW45" s="85"/>
      <c r="CX45" s="85"/>
      <c r="CY45" s="85"/>
      <c r="CZ45" s="85"/>
      <c r="DA45" s="33"/>
    </row>
    <row r="46" spans="21:105" ht="19" x14ac:dyDescent="0.25">
      <c r="U46" s="79"/>
      <c r="V46" s="118"/>
      <c r="W46" s="121"/>
      <c r="X46" s="124"/>
      <c r="Y46" s="85"/>
      <c r="Z46" s="127"/>
      <c r="AA46" s="130"/>
      <c r="AI46" s="71"/>
      <c r="AJ46" s="63"/>
      <c r="AK46" s="20"/>
      <c r="AL46" s="21"/>
      <c r="AM46" s="22"/>
      <c r="AN46" s="23"/>
      <c r="AO46" s="24"/>
      <c r="AP46" s="25"/>
      <c r="AQ46" s="26"/>
      <c r="AR46" s="27"/>
      <c r="AS46" s="192"/>
      <c r="AT46" s="111"/>
      <c r="AU46" s="193"/>
      <c r="AV46" s="140"/>
      <c r="AW46" s="118"/>
      <c r="AX46" s="141"/>
      <c r="AY46" s="149"/>
      <c r="AZ46" s="121"/>
      <c r="BA46" s="150"/>
      <c r="BB46" s="158"/>
      <c r="BC46" s="124"/>
      <c r="BD46" s="159"/>
      <c r="BE46" s="167"/>
      <c r="BF46" s="85"/>
      <c r="BG46" s="168"/>
      <c r="BH46" s="175"/>
      <c r="BI46" s="127"/>
      <c r="BJ46" s="176"/>
      <c r="BK46" s="184"/>
      <c r="BL46" s="130"/>
      <c r="BM46" s="185"/>
      <c r="BN46" s="69"/>
      <c r="BO46" s="85"/>
      <c r="BP46" s="85"/>
      <c r="BQ46" s="85"/>
      <c r="BR46" s="85"/>
      <c r="BS46" s="85"/>
      <c r="BT46" s="85"/>
      <c r="BU46" s="87"/>
      <c r="BV46" s="87"/>
      <c r="BW46" s="87"/>
      <c r="BX46" s="87"/>
      <c r="BY46" s="87"/>
      <c r="BZ46" s="87"/>
      <c r="CA46" s="90"/>
      <c r="CB46" s="90"/>
      <c r="CC46" s="90"/>
      <c r="CD46" s="90"/>
      <c r="CE46" s="90"/>
      <c r="CF46" s="90"/>
      <c r="CG46" s="85"/>
      <c r="CH46" s="85"/>
      <c r="CI46" s="85"/>
      <c r="CJ46" s="85"/>
      <c r="CK46" s="85"/>
      <c r="CL46" s="87"/>
      <c r="CM46" s="87"/>
      <c r="CN46" s="87"/>
      <c r="CO46" s="87"/>
      <c r="CP46" s="90"/>
      <c r="CQ46" s="90"/>
      <c r="CR46" s="90"/>
      <c r="CS46" s="90"/>
      <c r="CT46" s="85"/>
      <c r="CU46" s="85"/>
      <c r="CV46" s="85"/>
      <c r="CW46" s="85"/>
      <c r="CX46" s="85"/>
      <c r="CY46" s="85"/>
      <c r="CZ46" s="85"/>
      <c r="DA46" s="33"/>
    </row>
    <row r="47" spans="21:105" ht="19" x14ac:dyDescent="0.25">
      <c r="U47" s="79"/>
      <c r="V47" s="118"/>
      <c r="W47" s="121"/>
      <c r="X47" s="124"/>
      <c r="Y47" s="85"/>
      <c r="Z47" s="127"/>
      <c r="AA47" s="130"/>
      <c r="AI47" s="71"/>
      <c r="AJ47" s="63"/>
      <c r="AK47" s="20"/>
      <c r="AL47" s="21"/>
      <c r="AM47" s="22"/>
      <c r="AN47" s="23"/>
      <c r="AO47" s="24"/>
      <c r="AP47" s="25"/>
      <c r="AQ47" s="26"/>
      <c r="AR47" s="27"/>
      <c r="AS47" s="192"/>
      <c r="AT47" s="111"/>
      <c r="AU47" s="193"/>
      <c r="AV47" s="140"/>
      <c r="AW47" s="118"/>
      <c r="AX47" s="141"/>
      <c r="AY47" s="149"/>
      <c r="AZ47" s="121"/>
      <c r="BA47" s="150"/>
      <c r="BB47" s="158"/>
      <c r="BC47" s="124"/>
      <c r="BD47" s="159"/>
      <c r="BE47" s="167"/>
      <c r="BF47" s="85"/>
      <c r="BG47" s="168"/>
      <c r="BH47" s="175"/>
      <c r="BI47" s="127"/>
      <c r="BJ47" s="176"/>
      <c r="BK47" s="184"/>
      <c r="BL47" s="130"/>
      <c r="BM47" s="185"/>
      <c r="BN47" s="69"/>
      <c r="BO47" s="85"/>
      <c r="BP47" s="85"/>
      <c r="BQ47" s="85"/>
      <c r="BR47" s="85"/>
      <c r="BS47" s="85"/>
      <c r="BT47" s="85"/>
      <c r="BU47" s="87"/>
      <c r="BV47" s="87"/>
      <c r="BW47" s="87"/>
      <c r="BX47" s="87"/>
      <c r="BY47" s="87"/>
      <c r="BZ47" s="87"/>
      <c r="CA47" s="90"/>
      <c r="CB47" s="90"/>
      <c r="CC47" s="90"/>
      <c r="CD47" s="90"/>
      <c r="CE47" s="90"/>
      <c r="CF47" s="90"/>
      <c r="CG47" s="85"/>
      <c r="CH47" s="85"/>
      <c r="CI47" s="85"/>
      <c r="CJ47" s="85"/>
      <c r="CK47" s="85"/>
      <c r="CL47" s="87"/>
      <c r="CM47" s="87"/>
      <c r="CN47" s="87"/>
      <c r="CO47" s="87"/>
      <c r="CP47" s="90"/>
      <c r="CQ47" s="90"/>
      <c r="CR47" s="90"/>
      <c r="CS47" s="90"/>
      <c r="CT47" s="85"/>
      <c r="CU47" s="85"/>
      <c r="CV47" s="85"/>
      <c r="CW47" s="85"/>
      <c r="CX47" s="85"/>
      <c r="CY47" s="85"/>
      <c r="CZ47" s="85"/>
      <c r="DA47" s="33"/>
    </row>
    <row r="48" spans="21:105" ht="19" x14ac:dyDescent="0.25">
      <c r="V48" s="118"/>
      <c r="W48" s="121"/>
      <c r="X48" s="124"/>
      <c r="Y48" s="85"/>
      <c r="Z48" s="127"/>
      <c r="AA48" s="130"/>
      <c r="AI48" s="71"/>
      <c r="AJ48" s="63"/>
      <c r="AK48" s="20"/>
      <c r="AL48" s="21"/>
      <c r="AM48" s="22"/>
      <c r="AN48" s="23"/>
      <c r="AO48" s="24"/>
      <c r="AP48" s="25"/>
      <c r="AQ48" s="26"/>
      <c r="AR48" s="27"/>
      <c r="AS48" s="192"/>
      <c r="AT48" s="111"/>
      <c r="AU48" s="193"/>
      <c r="AV48" s="140"/>
      <c r="AW48" s="118"/>
      <c r="AX48" s="141"/>
      <c r="AY48" s="149"/>
      <c r="AZ48" s="121"/>
      <c r="BA48" s="150"/>
      <c r="BB48" s="158"/>
      <c r="BC48" s="124"/>
      <c r="BD48" s="159"/>
      <c r="BE48" s="167"/>
      <c r="BF48" s="85"/>
      <c r="BG48" s="168"/>
      <c r="BH48" s="175"/>
      <c r="BI48" s="127"/>
      <c r="BJ48" s="176"/>
      <c r="BK48" s="184"/>
      <c r="BL48" s="130"/>
      <c r="BM48" s="185"/>
      <c r="BN48" s="69"/>
      <c r="BO48" s="85"/>
      <c r="BP48" s="85"/>
      <c r="BQ48" s="85"/>
      <c r="BR48" s="85"/>
      <c r="BS48" s="85"/>
      <c r="BT48" s="85"/>
      <c r="BU48" s="87"/>
      <c r="BV48" s="87"/>
      <c r="BW48" s="87"/>
      <c r="BX48" s="87"/>
      <c r="BY48" s="87"/>
      <c r="BZ48" s="87"/>
      <c r="CA48" s="90"/>
      <c r="CB48" s="90"/>
      <c r="CC48" s="90"/>
      <c r="CD48" s="90"/>
      <c r="CE48" s="90"/>
      <c r="CF48" s="90"/>
      <c r="CG48" s="85"/>
      <c r="CH48" s="85"/>
      <c r="CI48" s="85"/>
      <c r="CJ48" s="85"/>
      <c r="CK48" s="85"/>
      <c r="CL48" s="87"/>
      <c r="CM48" s="87"/>
      <c r="CN48" s="87"/>
      <c r="CO48" s="87"/>
      <c r="CP48" s="90"/>
      <c r="CQ48" s="90"/>
      <c r="CR48" s="90"/>
      <c r="CS48" s="90"/>
      <c r="CT48" s="85"/>
      <c r="CU48" s="85"/>
      <c r="CV48" s="85"/>
      <c r="CW48" s="85"/>
      <c r="CX48" s="85"/>
      <c r="CY48" s="85"/>
      <c r="CZ48" s="85"/>
      <c r="DA48" s="33"/>
    </row>
    <row r="49" spans="21:105" ht="19" x14ac:dyDescent="0.25">
      <c r="U49" s="79"/>
      <c r="V49" s="118"/>
      <c r="W49" s="121"/>
      <c r="X49" s="124"/>
      <c r="Y49" s="85"/>
      <c r="Z49" s="127"/>
      <c r="AA49" s="130"/>
      <c r="AI49" s="71"/>
      <c r="AJ49" s="63"/>
      <c r="AK49" s="20"/>
      <c r="AL49" s="21"/>
      <c r="AM49" s="22"/>
      <c r="AN49" s="23"/>
      <c r="AO49" s="24"/>
      <c r="AP49" s="25"/>
      <c r="AQ49" s="26"/>
      <c r="AR49" s="27"/>
      <c r="AS49" s="192"/>
      <c r="AT49" s="111"/>
      <c r="AU49" s="193"/>
      <c r="AV49" s="140"/>
      <c r="AW49" s="118"/>
      <c r="AX49" s="141"/>
      <c r="AY49" s="149"/>
      <c r="AZ49" s="121"/>
      <c r="BA49" s="150"/>
      <c r="BB49" s="158"/>
      <c r="BC49" s="124"/>
      <c r="BD49" s="159"/>
      <c r="BE49" s="167"/>
      <c r="BF49" s="85"/>
      <c r="BG49" s="168"/>
      <c r="BH49" s="175"/>
      <c r="BI49" s="127"/>
      <c r="BJ49" s="176"/>
      <c r="BK49" s="184"/>
      <c r="BL49" s="130"/>
      <c r="BM49" s="185"/>
      <c r="BN49" s="69"/>
      <c r="BO49" s="85"/>
      <c r="BP49" s="85"/>
      <c r="BQ49" s="85"/>
      <c r="BR49" s="85"/>
      <c r="BS49" s="85"/>
      <c r="BT49" s="85"/>
      <c r="BU49" s="87"/>
      <c r="BV49" s="87"/>
      <c r="BW49" s="87"/>
      <c r="BX49" s="87"/>
      <c r="BY49" s="87"/>
      <c r="BZ49" s="87"/>
      <c r="CA49" s="90"/>
      <c r="CB49" s="90"/>
      <c r="CC49" s="90"/>
      <c r="CD49" s="90"/>
      <c r="CE49" s="90"/>
      <c r="CF49" s="90"/>
      <c r="CG49" s="85"/>
      <c r="CH49" s="85"/>
      <c r="CI49" s="85"/>
      <c r="CJ49" s="85"/>
      <c r="CK49" s="85"/>
      <c r="CL49" s="87"/>
      <c r="CM49" s="87"/>
      <c r="CN49" s="87"/>
      <c r="CO49" s="87"/>
      <c r="CP49" s="90"/>
      <c r="CQ49" s="90"/>
      <c r="CR49" s="90"/>
      <c r="CS49" s="90"/>
      <c r="CT49" s="85"/>
      <c r="CU49" s="85"/>
      <c r="CV49" s="85"/>
      <c r="CW49" s="85"/>
      <c r="CX49" s="85"/>
      <c r="CY49" s="85"/>
      <c r="CZ49" s="85"/>
      <c r="DA49" s="33"/>
    </row>
    <row r="50" spans="21:105" ht="19" x14ac:dyDescent="0.25">
      <c r="U50" s="79"/>
      <c r="V50" s="118"/>
      <c r="W50" s="121"/>
      <c r="X50" s="124"/>
      <c r="Y50" s="85"/>
      <c r="Z50" s="127"/>
      <c r="AA50" s="130"/>
      <c r="AI50" s="71"/>
      <c r="AJ50" s="63"/>
      <c r="AK50" s="20"/>
      <c r="AL50" s="21"/>
      <c r="AM50" s="22"/>
      <c r="AN50" s="23"/>
      <c r="AO50" s="24"/>
      <c r="AP50" s="25"/>
      <c r="AQ50" s="26"/>
      <c r="AR50" s="27"/>
      <c r="AS50" s="192"/>
      <c r="AT50" s="111"/>
      <c r="AU50" s="193"/>
      <c r="AV50" s="140"/>
      <c r="AW50" s="118"/>
      <c r="AX50" s="141"/>
      <c r="AY50" s="149"/>
      <c r="AZ50" s="121"/>
      <c r="BA50" s="150"/>
      <c r="BB50" s="158"/>
      <c r="BC50" s="124"/>
      <c r="BD50" s="159"/>
      <c r="BE50" s="167"/>
      <c r="BF50" s="85"/>
      <c r="BG50" s="168"/>
      <c r="BH50" s="175"/>
      <c r="BI50" s="127"/>
      <c r="BJ50" s="176"/>
      <c r="BK50" s="184"/>
      <c r="BL50" s="130"/>
      <c r="BM50" s="185"/>
      <c r="BN50" s="69"/>
      <c r="BO50" s="85"/>
      <c r="BP50" s="85"/>
      <c r="BQ50" s="85"/>
      <c r="BR50" s="85"/>
      <c r="BS50" s="85"/>
      <c r="BT50" s="85"/>
      <c r="BU50" s="87"/>
      <c r="BV50" s="87"/>
      <c r="BW50" s="87"/>
      <c r="BX50" s="87"/>
      <c r="BY50" s="87"/>
      <c r="BZ50" s="87"/>
      <c r="CA50" s="90"/>
      <c r="CB50" s="90"/>
      <c r="CC50" s="90"/>
      <c r="CD50" s="90"/>
      <c r="CE50" s="90"/>
      <c r="CF50" s="90"/>
      <c r="CG50" s="85"/>
      <c r="CH50" s="85"/>
      <c r="CI50" s="85"/>
      <c r="CJ50" s="85"/>
      <c r="CK50" s="85"/>
      <c r="CL50" s="87"/>
      <c r="CM50" s="87"/>
      <c r="CN50" s="87"/>
      <c r="CO50" s="87"/>
      <c r="CP50" s="90"/>
      <c r="CQ50" s="90"/>
      <c r="CR50" s="90"/>
      <c r="CS50" s="90"/>
      <c r="CT50" s="85"/>
      <c r="CU50" s="85"/>
      <c r="CV50" s="85"/>
      <c r="CW50" s="85"/>
      <c r="CX50" s="85"/>
      <c r="CY50" s="85"/>
      <c r="CZ50" s="85"/>
      <c r="DA50" s="33"/>
    </row>
    <row r="51" spans="21:105" ht="19" x14ac:dyDescent="0.25">
      <c r="U51" s="79"/>
      <c r="V51" s="118"/>
      <c r="W51" s="121"/>
      <c r="X51" s="124"/>
      <c r="Y51" s="85"/>
      <c r="Z51" s="127"/>
      <c r="AA51" s="130"/>
      <c r="AI51" s="71"/>
      <c r="AJ51" s="63"/>
      <c r="AK51" s="20"/>
      <c r="AL51" s="21"/>
      <c r="AM51" s="22"/>
      <c r="AN51" s="23"/>
      <c r="AO51" s="24"/>
      <c r="AP51" s="25"/>
      <c r="AQ51" s="26"/>
      <c r="AR51" s="27"/>
      <c r="AS51" s="192"/>
      <c r="AT51" s="111"/>
      <c r="AU51" s="193"/>
      <c r="AV51" s="140"/>
      <c r="AW51" s="118"/>
      <c r="AX51" s="141"/>
      <c r="AY51" s="149"/>
      <c r="AZ51" s="121"/>
      <c r="BA51" s="150"/>
      <c r="BB51" s="158"/>
      <c r="BC51" s="124"/>
      <c r="BD51" s="159"/>
      <c r="BE51" s="167"/>
      <c r="BF51" s="85"/>
      <c r="BG51" s="168"/>
      <c r="BH51" s="175"/>
      <c r="BI51" s="127"/>
      <c r="BJ51" s="176"/>
      <c r="BK51" s="184"/>
      <c r="BL51" s="130"/>
      <c r="BM51" s="185"/>
      <c r="BN51" s="69"/>
      <c r="BO51" s="85"/>
      <c r="BP51" s="85"/>
      <c r="BQ51" s="85"/>
      <c r="BR51" s="85"/>
      <c r="BS51" s="85"/>
      <c r="BT51" s="85"/>
      <c r="BU51" s="87"/>
      <c r="BV51" s="87"/>
      <c r="BW51" s="87"/>
      <c r="BX51" s="87"/>
      <c r="BY51" s="87"/>
      <c r="BZ51" s="87"/>
      <c r="CA51" s="90"/>
      <c r="CB51" s="90"/>
      <c r="CC51" s="90"/>
      <c r="CD51" s="90"/>
      <c r="CE51" s="90"/>
      <c r="CF51" s="90"/>
      <c r="CG51" s="85"/>
      <c r="CH51" s="85"/>
      <c r="CI51" s="85"/>
      <c r="CJ51" s="85"/>
      <c r="CK51" s="85"/>
      <c r="CL51" s="87"/>
      <c r="CM51" s="87"/>
      <c r="CN51" s="87"/>
      <c r="CO51" s="87"/>
      <c r="CP51" s="90"/>
      <c r="CQ51" s="90"/>
      <c r="CR51" s="90"/>
      <c r="CS51" s="90"/>
      <c r="CT51" s="85"/>
      <c r="CU51" s="85"/>
      <c r="CV51" s="85"/>
      <c r="CW51" s="85"/>
      <c r="CX51" s="85"/>
      <c r="CY51" s="85"/>
      <c r="CZ51" s="85"/>
      <c r="DA51" s="33"/>
    </row>
    <row r="52" spans="21:105" ht="19" x14ac:dyDescent="0.25">
      <c r="U52" s="79"/>
      <c r="V52" s="118"/>
      <c r="W52" s="121"/>
      <c r="X52" s="124"/>
      <c r="Y52" s="85"/>
      <c r="Z52" s="127"/>
      <c r="AA52" s="130"/>
      <c r="AI52" s="71"/>
      <c r="AJ52" s="63"/>
      <c r="AK52" s="20"/>
      <c r="AL52" s="21"/>
      <c r="AM52" s="22"/>
      <c r="AN52" s="23"/>
      <c r="AO52" s="24"/>
      <c r="AP52" s="25"/>
      <c r="AQ52" s="26"/>
      <c r="AR52" s="27"/>
      <c r="AS52" s="192"/>
      <c r="AT52" s="111"/>
      <c r="AU52" s="193"/>
      <c r="AV52" s="140"/>
      <c r="AW52" s="118"/>
      <c r="AX52" s="141"/>
      <c r="AY52" s="149"/>
      <c r="AZ52" s="121"/>
      <c r="BA52" s="150"/>
      <c r="BB52" s="158"/>
      <c r="BC52" s="124"/>
      <c r="BD52" s="159"/>
      <c r="BE52" s="167"/>
      <c r="BF52" s="85"/>
      <c r="BG52" s="168"/>
      <c r="BH52" s="175"/>
      <c r="BI52" s="127"/>
      <c r="BJ52" s="176"/>
      <c r="BK52" s="184"/>
      <c r="BL52" s="130"/>
      <c r="BM52" s="185"/>
      <c r="BN52" s="69"/>
      <c r="BO52" s="85"/>
      <c r="BP52" s="85"/>
      <c r="BQ52" s="85"/>
      <c r="BR52" s="85"/>
      <c r="BS52" s="85"/>
      <c r="BT52" s="85"/>
      <c r="BU52" s="87"/>
      <c r="BV52" s="87"/>
      <c r="BW52" s="87"/>
      <c r="BX52" s="87"/>
      <c r="BY52" s="87"/>
      <c r="BZ52" s="87"/>
      <c r="CA52" s="90"/>
      <c r="CB52" s="90"/>
      <c r="CC52" s="90"/>
      <c r="CD52" s="90"/>
      <c r="CE52" s="90"/>
      <c r="CF52" s="90"/>
      <c r="CG52" s="85"/>
      <c r="CH52" s="85"/>
      <c r="CI52" s="85"/>
      <c r="CJ52" s="85"/>
      <c r="CK52" s="85"/>
      <c r="CL52" s="87"/>
      <c r="CM52" s="87"/>
      <c r="CN52" s="87"/>
      <c r="CO52" s="87"/>
      <c r="CP52" s="90"/>
      <c r="CQ52" s="90"/>
      <c r="CR52" s="90"/>
      <c r="CS52" s="90"/>
      <c r="CT52" s="85"/>
      <c r="CU52" s="85"/>
      <c r="CV52" s="85"/>
      <c r="CW52" s="85"/>
      <c r="CX52" s="85"/>
      <c r="CY52" s="85"/>
      <c r="CZ52" s="85"/>
      <c r="DA52" s="33"/>
    </row>
    <row r="53" spans="21:105" ht="19" x14ac:dyDescent="0.25">
      <c r="U53" s="79"/>
      <c r="V53" s="118"/>
      <c r="W53" s="121"/>
      <c r="X53" s="124"/>
      <c r="Y53" s="85"/>
      <c r="Z53" s="127"/>
      <c r="AA53" s="130"/>
      <c r="AI53" s="71"/>
      <c r="AJ53" s="63"/>
      <c r="AK53" s="20"/>
      <c r="AL53" s="21"/>
      <c r="AM53" s="22"/>
      <c r="AN53" s="23"/>
      <c r="AO53" s="24"/>
      <c r="AP53" s="25"/>
      <c r="AQ53" s="26"/>
      <c r="AR53" s="27"/>
      <c r="AS53" s="192"/>
      <c r="AT53" s="111"/>
      <c r="AU53" s="193"/>
      <c r="AV53" s="140"/>
      <c r="AW53" s="118"/>
      <c r="AX53" s="141"/>
      <c r="AY53" s="149"/>
      <c r="AZ53" s="121"/>
      <c r="BA53" s="150"/>
      <c r="BB53" s="158"/>
      <c r="BC53" s="124"/>
      <c r="BD53" s="159"/>
      <c r="BE53" s="167"/>
      <c r="BF53" s="85"/>
      <c r="BG53" s="168"/>
      <c r="BH53" s="175"/>
      <c r="BI53" s="127"/>
      <c r="BJ53" s="176"/>
      <c r="BK53" s="184"/>
      <c r="BL53" s="130"/>
      <c r="BM53" s="185"/>
      <c r="BN53" s="69"/>
      <c r="BO53" s="85"/>
      <c r="BP53" s="85"/>
      <c r="BQ53" s="85"/>
      <c r="BR53" s="85"/>
      <c r="BS53" s="85"/>
      <c r="BT53" s="85"/>
      <c r="BU53" s="87"/>
      <c r="BV53" s="87"/>
      <c r="BW53" s="87"/>
      <c r="BX53" s="87"/>
      <c r="BY53" s="87"/>
      <c r="BZ53" s="87"/>
      <c r="CA53" s="90"/>
      <c r="CB53" s="90"/>
      <c r="CC53" s="90"/>
      <c r="CD53" s="90"/>
      <c r="CE53" s="90"/>
      <c r="CF53" s="90"/>
      <c r="CG53" s="85"/>
      <c r="CH53" s="85"/>
      <c r="CI53" s="85"/>
      <c r="CJ53" s="85"/>
      <c r="CK53" s="85"/>
      <c r="CL53" s="87"/>
      <c r="CM53" s="87"/>
      <c r="CN53" s="87"/>
      <c r="CO53" s="87"/>
      <c r="CP53" s="90"/>
      <c r="CQ53" s="90"/>
      <c r="CR53" s="90"/>
      <c r="CS53" s="90"/>
      <c r="CT53" s="85"/>
      <c r="CU53" s="85"/>
      <c r="CV53" s="85"/>
      <c r="CW53" s="85"/>
      <c r="CX53" s="85"/>
      <c r="CY53" s="85"/>
      <c r="CZ53" s="85"/>
      <c r="DA53" s="33"/>
    </row>
    <row r="54" spans="21:105" ht="19" x14ac:dyDescent="0.25">
      <c r="U54" s="79"/>
      <c r="V54" s="118"/>
      <c r="W54" s="121"/>
      <c r="X54" s="124"/>
      <c r="Y54" s="85"/>
      <c r="Z54" s="127"/>
      <c r="AA54" s="130"/>
      <c r="AI54" s="71"/>
      <c r="AJ54" s="63"/>
      <c r="AK54" s="20"/>
      <c r="AL54" s="21"/>
      <c r="AM54" s="22"/>
      <c r="AN54" s="23"/>
      <c r="AO54" s="24"/>
      <c r="AP54" s="25"/>
      <c r="AQ54" s="26"/>
      <c r="AR54" s="27"/>
      <c r="AS54" s="192"/>
      <c r="AT54" s="111"/>
      <c r="AU54" s="193"/>
      <c r="AV54" s="140"/>
      <c r="AW54" s="118"/>
      <c r="AX54" s="141"/>
      <c r="AY54" s="149"/>
      <c r="AZ54" s="121"/>
      <c r="BA54" s="150"/>
      <c r="BB54" s="158"/>
      <c r="BC54" s="124"/>
      <c r="BD54" s="159"/>
      <c r="BE54" s="167"/>
      <c r="BF54" s="85"/>
      <c r="BG54" s="168"/>
      <c r="BH54" s="175"/>
      <c r="BI54" s="127"/>
      <c r="BJ54" s="176"/>
      <c r="BK54" s="184"/>
      <c r="BL54" s="130"/>
      <c r="BM54" s="185"/>
      <c r="BN54" s="69"/>
      <c r="BO54" s="85"/>
      <c r="BP54" s="85"/>
      <c r="BQ54" s="85"/>
      <c r="BR54" s="85"/>
      <c r="BS54" s="85"/>
      <c r="BT54" s="85"/>
      <c r="BU54" s="87"/>
      <c r="BV54" s="87"/>
      <c r="BW54" s="87"/>
      <c r="BX54" s="87"/>
      <c r="BY54" s="87"/>
      <c r="BZ54" s="87"/>
      <c r="CA54" s="90"/>
      <c r="CB54" s="90"/>
      <c r="CC54" s="90"/>
      <c r="CD54" s="90"/>
      <c r="CE54" s="90"/>
      <c r="CF54" s="90"/>
      <c r="CG54" s="85"/>
      <c r="CH54" s="85"/>
      <c r="CI54" s="85"/>
      <c r="CJ54" s="85"/>
      <c r="CK54" s="85"/>
      <c r="CL54" s="87"/>
      <c r="CM54" s="87"/>
      <c r="CN54" s="87"/>
      <c r="CO54" s="87"/>
      <c r="CP54" s="90"/>
      <c r="CQ54" s="90"/>
      <c r="CR54" s="90"/>
      <c r="CS54" s="90"/>
      <c r="CT54" s="85"/>
      <c r="CU54" s="85"/>
      <c r="CV54" s="85"/>
      <c r="CW54" s="85"/>
      <c r="CX54" s="85"/>
      <c r="CY54" s="85"/>
      <c r="CZ54" s="85"/>
      <c r="DA54" s="33"/>
    </row>
    <row r="55" spans="21:105" ht="19" x14ac:dyDescent="0.25">
      <c r="U55" s="79"/>
      <c r="V55" s="118"/>
      <c r="W55" s="121"/>
      <c r="X55" s="124"/>
      <c r="Y55" s="85"/>
      <c r="Z55" s="127"/>
      <c r="AA55" s="130"/>
      <c r="AI55" s="71"/>
      <c r="AJ55" s="63"/>
      <c r="AK55" s="20"/>
      <c r="AL55" s="21"/>
      <c r="AM55" s="22"/>
      <c r="AN55" s="23"/>
      <c r="AO55" s="24"/>
      <c r="AP55" s="25"/>
      <c r="AQ55" s="26"/>
      <c r="AR55" s="27"/>
      <c r="AS55" s="192"/>
      <c r="AT55" s="111"/>
      <c r="AU55" s="193"/>
      <c r="AV55" s="140"/>
      <c r="AW55" s="118"/>
      <c r="AX55" s="141"/>
      <c r="AY55" s="149"/>
      <c r="AZ55" s="121"/>
      <c r="BA55" s="150"/>
      <c r="BB55" s="158"/>
      <c r="BC55" s="124"/>
      <c r="BD55" s="159"/>
      <c r="BE55" s="167"/>
      <c r="BF55" s="85"/>
      <c r="BG55" s="168"/>
      <c r="BH55" s="175"/>
      <c r="BI55" s="127"/>
      <c r="BJ55" s="176"/>
      <c r="BK55" s="184"/>
      <c r="BL55" s="130"/>
      <c r="BM55" s="185"/>
      <c r="BN55" s="69"/>
      <c r="BO55" s="85"/>
      <c r="BP55" s="85"/>
      <c r="BQ55" s="85"/>
      <c r="BR55" s="85"/>
      <c r="BS55" s="85"/>
      <c r="BT55" s="85"/>
      <c r="BU55" s="87"/>
      <c r="BV55" s="87"/>
      <c r="BW55" s="87"/>
      <c r="BX55" s="87"/>
      <c r="BY55" s="87"/>
      <c r="BZ55" s="87"/>
      <c r="CA55" s="90"/>
      <c r="CB55" s="90"/>
      <c r="CC55" s="90"/>
      <c r="CD55" s="90"/>
      <c r="CE55" s="90"/>
      <c r="CF55" s="90"/>
      <c r="CG55" s="85"/>
      <c r="CH55" s="85"/>
      <c r="CI55" s="85"/>
      <c r="CJ55" s="85"/>
      <c r="CK55" s="85"/>
      <c r="CL55" s="87"/>
      <c r="CM55" s="87"/>
      <c r="CN55" s="87"/>
      <c r="CO55" s="87"/>
      <c r="CP55" s="90"/>
      <c r="CQ55" s="90"/>
      <c r="CR55" s="90"/>
      <c r="CS55" s="90"/>
      <c r="CT55" s="85"/>
      <c r="CU55" s="85"/>
      <c r="CV55" s="85"/>
      <c r="CW55" s="85"/>
      <c r="CX55" s="85"/>
      <c r="CY55" s="85"/>
      <c r="CZ55" s="85"/>
      <c r="DA55" s="33"/>
    </row>
    <row r="56" spans="21:105" ht="19" x14ac:dyDescent="0.25">
      <c r="U56" s="79"/>
      <c r="V56" s="118"/>
      <c r="W56" s="121"/>
      <c r="X56" s="124"/>
      <c r="Y56" s="85"/>
      <c r="Z56" s="127"/>
      <c r="AA56" s="130"/>
      <c r="AI56" s="71"/>
      <c r="AJ56" s="63"/>
      <c r="AK56" s="20"/>
      <c r="AL56" s="21"/>
      <c r="AM56" s="22"/>
      <c r="AN56" s="23"/>
      <c r="AO56" s="24"/>
      <c r="AP56" s="25"/>
      <c r="AQ56" s="26"/>
      <c r="AR56" s="27"/>
      <c r="AS56" s="192"/>
      <c r="AT56" s="111"/>
      <c r="AU56" s="193"/>
      <c r="AV56" s="140"/>
      <c r="AW56" s="118"/>
      <c r="AX56" s="141"/>
      <c r="AY56" s="149"/>
      <c r="AZ56" s="121"/>
      <c r="BA56" s="150"/>
      <c r="BB56" s="158"/>
      <c r="BC56" s="124"/>
      <c r="BD56" s="159"/>
      <c r="BE56" s="167"/>
      <c r="BF56" s="85"/>
      <c r="BG56" s="168"/>
      <c r="BH56" s="175"/>
      <c r="BI56" s="127"/>
      <c r="BJ56" s="176"/>
      <c r="BK56" s="184"/>
      <c r="BL56" s="130"/>
      <c r="BM56" s="185"/>
      <c r="BN56" s="69"/>
      <c r="BO56" s="85"/>
      <c r="BP56" s="85"/>
      <c r="BQ56" s="85"/>
      <c r="BR56" s="85"/>
      <c r="BS56" s="85"/>
      <c r="BT56" s="85"/>
      <c r="BU56" s="87"/>
      <c r="BV56" s="87"/>
      <c r="BW56" s="87"/>
      <c r="BX56" s="87"/>
      <c r="BY56" s="87"/>
      <c r="BZ56" s="87"/>
      <c r="CA56" s="90"/>
      <c r="CB56" s="90"/>
      <c r="CC56" s="90"/>
      <c r="CD56" s="90"/>
      <c r="CE56" s="90"/>
      <c r="CF56" s="90"/>
      <c r="CG56" s="85"/>
      <c r="CH56" s="85"/>
      <c r="CI56" s="85"/>
      <c r="CJ56" s="85"/>
      <c r="CK56" s="85"/>
      <c r="CL56" s="87"/>
      <c r="CM56" s="87"/>
      <c r="CN56" s="87"/>
      <c r="CO56" s="87"/>
      <c r="CP56" s="90"/>
      <c r="CQ56" s="90"/>
      <c r="CR56" s="90"/>
      <c r="CS56" s="90"/>
      <c r="CT56" s="85"/>
      <c r="CU56" s="85"/>
      <c r="CV56" s="85"/>
      <c r="CW56" s="85"/>
      <c r="CX56" s="85"/>
      <c r="CY56" s="85"/>
      <c r="CZ56" s="85"/>
      <c r="DA56" s="33"/>
    </row>
    <row r="57" spans="21:105" ht="19" x14ac:dyDescent="0.25">
      <c r="U57" s="79"/>
      <c r="V57" s="118"/>
      <c r="W57" s="121"/>
      <c r="X57" s="124"/>
      <c r="Y57" s="85"/>
      <c r="Z57" s="127"/>
      <c r="AA57" s="130"/>
      <c r="AI57" s="71"/>
      <c r="AJ57" s="63"/>
      <c r="AK57" s="20"/>
      <c r="AL57" s="21"/>
      <c r="AM57" s="22"/>
      <c r="AN57" s="23"/>
      <c r="AO57" s="24"/>
      <c r="AP57" s="25"/>
      <c r="AQ57" s="26"/>
      <c r="AR57" s="27"/>
      <c r="AS57" s="192"/>
      <c r="AT57" s="111"/>
      <c r="AU57" s="193"/>
      <c r="AV57" s="140"/>
      <c r="AW57" s="118"/>
      <c r="AX57" s="141"/>
      <c r="AY57" s="149"/>
      <c r="AZ57" s="121"/>
      <c r="BA57" s="150"/>
      <c r="BB57" s="158"/>
      <c r="BC57" s="124"/>
      <c r="BD57" s="159"/>
      <c r="BE57" s="167"/>
      <c r="BF57" s="85"/>
      <c r="BG57" s="168"/>
      <c r="BH57" s="175"/>
      <c r="BI57" s="127"/>
      <c r="BJ57" s="176"/>
      <c r="BK57" s="184"/>
      <c r="BL57" s="130"/>
      <c r="BM57" s="185"/>
      <c r="BN57" s="69"/>
      <c r="BO57" s="85"/>
      <c r="BP57" s="85"/>
      <c r="BQ57" s="85"/>
      <c r="BR57" s="85"/>
      <c r="BS57" s="85"/>
      <c r="BT57" s="85"/>
      <c r="BU57" s="87"/>
      <c r="BV57" s="87"/>
      <c r="BW57" s="87"/>
      <c r="BX57" s="87"/>
      <c r="BY57" s="87"/>
      <c r="BZ57" s="87"/>
      <c r="CA57" s="90"/>
      <c r="CB57" s="90"/>
      <c r="CC57" s="90"/>
      <c r="CD57" s="90"/>
      <c r="CE57" s="90"/>
      <c r="CF57" s="90"/>
      <c r="CG57" s="85"/>
      <c r="CH57" s="85"/>
      <c r="CI57" s="85"/>
      <c r="CJ57" s="85"/>
      <c r="CK57" s="85"/>
      <c r="CL57" s="87"/>
      <c r="CM57" s="87"/>
      <c r="CN57" s="87"/>
      <c r="CO57" s="87"/>
      <c r="CP57" s="90"/>
      <c r="CQ57" s="90"/>
      <c r="CR57" s="90"/>
      <c r="CS57" s="90"/>
      <c r="CT57" s="85"/>
      <c r="CU57" s="85"/>
      <c r="CV57" s="85"/>
      <c r="CW57" s="85"/>
      <c r="CX57" s="85"/>
      <c r="CY57" s="85"/>
      <c r="CZ57" s="85"/>
      <c r="DA57" s="33"/>
    </row>
    <row r="58" spans="21:105" ht="19" x14ac:dyDescent="0.25">
      <c r="U58" s="79"/>
      <c r="V58" s="118"/>
      <c r="W58" s="121"/>
      <c r="X58" s="124"/>
      <c r="Y58" s="85"/>
      <c r="Z58" s="127"/>
      <c r="AA58" s="130"/>
      <c r="AI58" s="71"/>
      <c r="AJ58" s="63"/>
      <c r="AK58" s="20"/>
      <c r="AL58" s="21"/>
      <c r="AM58" s="22"/>
      <c r="AN58" s="23"/>
      <c r="AO58" s="24"/>
      <c r="AP58" s="25"/>
      <c r="AQ58" s="26"/>
      <c r="AR58" s="27"/>
      <c r="AS58" s="192"/>
      <c r="AT58" s="111"/>
      <c r="AU58" s="193"/>
      <c r="AV58" s="140"/>
      <c r="AW58" s="118"/>
      <c r="AX58" s="141"/>
      <c r="AY58" s="149"/>
      <c r="AZ58" s="121"/>
      <c r="BA58" s="150"/>
      <c r="BB58" s="158"/>
      <c r="BC58" s="124"/>
      <c r="BD58" s="159"/>
      <c r="BE58" s="167"/>
      <c r="BF58" s="85"/>
      <c r="BG58" s="168"/>
      <c r="BH58" s="175"/>
      <c r="BI58" s="127"/>
      <c r="BJ58" s="176"/>
      <c r="BK58" s="184"/>
      <c r="BL58" s="130"/>
      <c r="BM58" s="185"/>
      <c r="BN58" s="69"/>
      <c r="BO58" s="85"/>
      <c r="BP58" s="85"/>
      <c r="BQ58" s="85"/>
      <c r="BR58" s="85"/>
      <c r="BS58" s="85"/>
      <c r="BT58" s="85"/>
      <c r="BU58" s="87"/>
      <c r="BV58" s="87"/>
      <c r="BW58" s="87"/>
      <c r="BX58" s="87"/>
      <c r="BY58" s="87"/>
      <c r="BZ58" s="87"/>
      <c r="CA58" s="90"/>
      <c r="CB58" s="90"/>
      <c r="CC58" s="90"/>
      <c r="CD58" s="90"/>
      <c r="CE58" s="90"/>
      <c r="CF58" s="90"/>
      <c r="CG58" s="85"/>
      <c r="CH58" s="85"/>
      <c r="CI58" s="85"/>
      <c r="CJ58" s="85"/>
      <c r="CK58" s="85"/>
      <c r="CL58" s="87"/>
      <c r="CM58" s="87"/>
      <c r="CN58" s="87"/>
      <c r="CO58" s="87"/>
      <c r="CP58" s="90"/>
      <c r="CQ58" s="90"/>
      <c r="CR58" s="90"/>
      <c r="CS58" s="90"/>
      <c r="CT58" s="85"/>
      <c r="CU58" s="85"/>
      <c r="CV58" s="85"/>
      <c r="CW58" s="85"/>
      <c r="CX58" s="85"/>
      <c r="CY58" s="85"/>
      <c r="CZ58" s="85"/>
      <c r="DA58" s="33"/>
    </row>
    <row r="59" spans="21:105" ht="19" x14ac:dyDescent="0.25">
      <c r="U59" s="79"/>
      <c r="V59" s="118"/>
      <c r="W59" s="121"/>
      <c r="X59" s="124"/>
      <c r="Y59" s="85"/>
      <c r="Z59" s="127"/>
      <c r="AA59" s="130"/>
      <c r="AI59" s="71"/>
      <c r="AJ59" s="63"/>
      <c r="AK59" s="20"/>
      <c r="AL59" s="21"/>
      <c r="AM59" s="22"/>
      <c r="AN59" s="23"/>
      <c r="AO59" s="24"/>
      <c r="AP59" s="25"/>
      <c r="AQ59" s="26"/>
      <c r="AR59" s="27"/>
      <c r="AS59" s="192"/>
      <c r="AT59" s="111"/>
      <c r="AU59" s="193"/>
      <c r="AV59" s="140"/>
      <c r="AW59" s="118"/>
      <c r="AX59" s="141"/>
      <c r="AY59" s="149"/>
      <c r="AZ59" s="121"/>
      <c r="BA59" s="150"/>
      <c r="BB59" s="158"/>
      <c r="BC59" s="124"/>
      <c r="BD59" s="159"/>
      <c r="BE59" s="167"/>
      <c r="BF59" s="85"/>
      <c r="BG59" s="168"/>
      <c r="BH59" s="175"/>
      <c r="BI59" s="127"/>
      <c r="BJ59" s="176"/>
      <c r="BK59" s="184"/>
      <c r="BL59" s="130"/>
      <c r="BM59" s="185"/>
      <c r="BN59" s="69"/>
      <c r="BO59" s="85"/>
      <c r="BP59" s="85"/>
      <c r="BQ59" s="85"/>
      <c r="BR59" s="85"/>
      <c r="BS59" s="85"/>
      <c r="BT59" s="85"/>
      <c r="BU59" s="87"/>
      <c r="BV59" s="87"/>
      <c r="BW59" s="87"/>
      <c r="BX59" s="87"/>
      <c r="BY59" s="87"/>
      <c r="BZ59" s="87"/>
      <c r="CA59" s="90"/>
      <c r="CB59" s="90"/>
      <c r="CC59" s="90"/>
      <c r="CD59" s="90"/>
      <c r="CE59" s="90"/>
      <c r="CF59" s="90"/>
      <c r="CG59" s="85"/>
      <c r="CH59" s="85"/>
      <c r="CI59" s="85"/>
      <c r="CJ59" s="85"/>
      <c r="CK59" s="85"/>
      <c r="CL59" s="87"/>
      <c r="CM59" s="87"/>
      <c r="CN59" s="87"/>
      <c r="CO59" s="87"/>
      <c r="CP59" s="90"/>
      <c r="CQ59" s="90"/>
      <c r="CR59" s="90"/>
      <c r="CS59" s="90"/>
      <c r="CT59" s="85"/>
      <c r="CU59" s="85"/>
      <c r="CV59" s="85"/>
      <c r="CW59" s="85"/>
      <c r="CX59" s="85"/>
      <c r="CY59" s="85"/>
      <c r="CZ59" s="85"/>
      <c r="DA59" s="33"/>
    </row>
    <row r="60" spans="21:105" ht="19" x14ac:dyDescent="0.25">
      <c r="U60" s="79"/>
      <c r="V60" s="118"/>
      <c r="W60" s="121"/>
      <c r="X60" s="124"/>
      <c r="Y60" s="85"/>
      <c r="Z60" s="127"/>
      <c r="AA60" s="130"/>
      <c r="AI60" s="71"/>
      <c r="AJ60" s="63"/>
      <c r="AK60" s="20"/>
      <c r="AL60" s="21"/>
      <c r="AM60" s="22"/>
      <c r="AN60" s="23"/>
      <c r="AO60" s="24"/>
      <c r="AP60" s="25"/>
      <c r="AQ60" s="26"/>
      <c r="AR60" s="27"/>
      <c r="AS60" s="192"/>
      <c r="AT60" s="111"/>
      <c r="AU60" s="193"/>
      <c r="AV60" s="140"/>
      <c r="AW60" s="118"/>
      <c r="AX60" s="141"/>
      <c r="AY60" s="149"/>
      <c r="AZ60" s="121"/>
      <c r="BA60" s="150"/>
      <c r="BB60" s="158"/>
      <c r="BC60" s="124"/>
      <c r="BD60" s="159"/>
      <c r="BE60" s="167"/>
      <c r="BF60" s="85"/>
      <c r="BG60" s="168"/>
      <c r="BH60" s="175"/>
      <c r="BI60" s="127"/>
      <c r="BJ60" s="176"/>
      <c r="BK60" s="184"/>
      <c r="BL60" s="130"/>
      <c r="BM60" s="185"/>
      <c r="BN60" s="69"/>
      <c r="BO60" s="85"/>
      <c r="BP60" s="85"/>
      <c r="BQ60" s="85"/>
      <c r="BR60" s="85"/>
      <c r="BS60" s="85"/>
      <c r="BT60" s="85"/>
      <c r="BU60" s="87"/>
      <c r="BV60" s="87"/>
      <c r="BW60" s="87"/>
      <c r="BX60" s="87"/>
      <c r="BY60" s="87"/>
      <c r="BZ60" s="87"/>
      <c r="CA60" s="90"/>
      <c r="CB60" s="90"/>
      <c r="CC60" s="90"/>
      <c r="CD60" s="90"/>
      <c r="CE60" s="90"/>
      <c r="CF60" s="90"/>
      <c r="CG60" s="85"/>
      <c r="CH60" s="85"/>
      <c r="CI60" s="85"/>
      <c r="CJ60" s="85"/>
      <c r="CK60" s="85"/>
      <c r="CL60" s="87"/>
      <c r="CM60" s="87"/>
      <c r="CN60" s="87"/>
      <c r="CO60" s="87"/>
      <c r="CP60" s="90"/>
      <c r="CQ60" s="90"/>
      <c r="CR60" s="90"/>
      <c r="CS60" s="90"/>
      <c r="CT60" s="85"/>
      <c r="CU60" s="85"/>
      <c r="CV60" s="85"/>
      <c r="CW60" s="85"/>
      <c r="CX60" s="85"/>
      <c r="CY60" s="85"/>
      <c r="CZ60" s="85"/>
      <c r="DA60" s="33"/>
    </row>
    <row r="61" spans="21:105" ht="19" x14ac:dyDescent="0.25">
      <c r="U61" s="79"/>
      <c r="V61" s="118"/>
      <c r="W61" s="121"/>
      <c r="X61" s="124"/>
      <c r="Y61" s="85"/>
      <c r="Z61" s="127"/>
      <c r="AA61" s="130"/>
      <c r="AI61" s="71"/>
      <c r="AJ61" s="63"/>
      <c r="AK61" s="20"/>
      <c r="AL61" s="21"/>
      <c r="AM61" s="22"/>
      <c r="AN61" s="23"/>
      <c r="AO61" s="24"/>
      <c r="AP61" s="25"/>
      <c r="AQ61" s="26"/>
      <c r="AR61" s="27"/>
      <c r="AS61" s="192"/>
      <c r="AT61" s="111"/>
      <c r="AU61" s="193"/>
      <c r="AV61" s="140"/>
      <c r="AW61" s="118"/>
      <c r="AX61" s="141"/>
      <c r="AY61" s="149"/>
      <c r="AZ61" s="121"/>
      <c r="BA61" s="150"/>
      <c r="BB61" s="158"/>
      <c r="BC61" s="124"/>
      <c r="BD61" s="159"/>
      <c r="BE61" s="167"/>
      <c r="BF61" s="85"/>
      <c r="BG61" s="168"/>
      <c r="BH61" s="175"/>
      <c r="BI61" s="127"/>
      <c r="BJ61" s="176"/>
      <c r="BK61" s="184"/>
      <c r="BL61" s="130"/>
      <c r="BM61" s="185"/>
      <c r="BN61" s="69"/>
      <c r="BO61" s="85"/>
      <c r="BP61" s="85"/>
      <c r="BQ61" s="85"/>
      <c r="BR61" s="85"/>
      <c r="BS61" s="85"/>
      <c r="BT61" s="85"/>
      <c r="BU61" s="87"/>
      <c r="BV61" s="87"/>
      <c r="BW61" s="87"/>
      <c r="BX61" s="87"/>
      <c r="BY61" s="87"/>
      <c r="BZ61" s="87"/>
      <c r="CA61" s="90"/>
      <c r="CB61" s="90"/>
      <c r="CC61" s="90"/>
      <c r="CD61" s="90"/>
      <c r="CE61" s="90"/>
      <c r="CF61" s="90"/>
      <c r="CG61" s="85"/>
      <c r="CH61" s="85"/>
      <c r="CI61" s="85"/>
      <c r="CJ61" s="85"/>
      <c r="CK61" s="85"/>
      <c r="CL61" s="87"/>
      <c r="CM61" s="87"/>
      <c r="CN61" s="87"/>
      <c r="CO61" s="87"/>
      <c r="CP61" s="90"/>
      <c r="CQ61" s="90"/>
      <c r="CR61" s="90"/>
      <c r="CS61" s="90"/>
      <c r="CT61" s="85"/>
      <c r="CU61" s="85"/>
      <c r="CV61" s="85"/>
      <c r="CW61" s="85"/>
      <c r="CX61" s="85"/>
      <c r="CY61" s="85"/>
      <c r="CZ61" s="85"/>
      <c r="DA61" s="33"/>
    </row>
    <row r="62" spans="21:105" ht="19" x14ac:dyDescent="0.25">
      <c r="U62" s="79"/>
      <c r="V62" s="118"/>
      <c r="W62" s="121"/>
      <c r="X62" s="124"/>
      <c r="Y62" s="85"/>
      <c r="Z62" s="127"/>
      <c r="AA62" s="130"/>
      <c r="AI62" s="71"/>
      <c r="AJ62" s="63"/>
      <c r="AK62" s="20"/>
      <c r="AL62" s="21"/>
      <c r="AM62" s="22"/>
      <c r="AN62" s="23"/>
      <c r="AO62" s="24"/>
      <c r="AP62" s="25"/>
      <c r="AQ62" s="26"/>
      <c r="AR62" s="27"/>
      <c r="AS62" s="192"/>
      <c r="AT62" s="111"/>
      <c r="AU62" s="193"/>
      <c r="AV62" s="140"/>
      <c r="AW62" s="118"/>
      <c r="AX62" s="141"/>
      <c r="AY62" s="149"/>
      <c r="AZ62" s="121"/>
      <c r="BA62" s="150"/>
      <c r="BB62" s="158"/>
      <c r="BC62" s="124"/>
      <c r="BD62" s="159"/>
      <c r="BE62" s="167"/>
      <c r="BF62" s="85"/>
      <c r="BG62" s="168"/>
      <c r="BH62" s="175"/>
      <c r="BI62" s="127"/>
      <c r="BJ62" s="176"/>
      <c r="BK62" s="184"/>
      <c r="BL62" s="130"/>
      <c r="BM62" s="185"/>
      <c r="BN62" s="69"/>
      <c r="BO62" s="85"/>
      <c r="BP62" s="85"/>
      <c r="BQ62" s="85"/>
      <c r="BR62" s="85"/>
      <c r="BS62" s="85"/>
      <c r="BT62" s="85"/>
      <c r="BU62" s="87"/>
      <c r="BV62" s="87"/>
      <c r="BW62" s="87"/>
      <c r="BX62" s="87"/>
      <c r="BY62" s="87"/>
      <c r="BZ62" s="87"/>
      <c r="CA62" s="90"/>
      <c r="CB62" s="90"/>
      <c r="CC62" s="90"/>
      <c r="CD62" s="90"/>
      <c r="CE62" s="90"/>
      <c r="CF62" s="90"/>
      <c r="CG62" s="85"/>
      <c r="CH62" s="85"/>
      <c r="CI62" s="85"/>
      <c r="CJ62" s="85"/>
      <c r="CK62" s="85"/>
      <c r="CL62" s="87"/>
      <c r="CM62" s="87"/>
      <c r="CN62" s="87"/>
      <c r="CO62" s="87"/>
      <c r="CP62" s="90"/>
      <c r="CQ62" s="90"/>
      <c r="CR62" s="90"/>
      <c r="CS62" s="90"/>
      <c r="CT62" s="85"/>
      <c r="CU62" s="85"/>
      <c r="CV62" s="85"/>
      <c r="CW62" s="85"/>
      <c r="CX62" s="85"/>
      <c r="CY62" s="85"/>
      <c r="CZ62" s="85"/>
      <c r="DA62" s="33"/>
    </row>
    <row r="63" spans="21:105" ht="19" x14ac:dyDescent="0.25">
      <c r="U63" s="79"/>
      <c r="V63" s="118"/>
      <c r="W63" s="121"/>
      <c r="X63" s="124"/>
      <c r="Y63" s="85"/>
      <c r="Z63" s="127"/>
      <c r="AA63" s="130"/>
      <c r="AI63" s="71"/>
      <c r="AJ63" s="63"/>
      <c r="AK63" s="20"/>
      <c r="AL63" s="21"/>
      <c r="AM63" s="22"/>
      <c r="AN63" s="23"/>
      <c r="AO63" s="24"/>
      <c r="AP63" s="25"/>
      <c r="AQ63" s="26"/>
      <c r="AR63" s="27"/>
      <c r="AS63" s="192"/>
      <c r="AT63" s="111"/>
      <c r="AU63" s="193"/>
      <c r="AV63" s="140"/>
      <c r="AW63" s="118"/>
      <c r="AX63" s="141"/>
      <c r="AY63" s="149"/>
      <c r="AZ63" s="121"/>
      <c r="BA63" s="150"/>
      <c r="BB63" s="158"/>
      <c r="BC63" s="124"/>
      <c r="BD63" s="159"/>
      <c r="BE63" s="167"/>
      <c r="BF63" s="85"/>
      <c r="BG63" s="168"/>
      <c r="BH63" s="175"/>
      <c r="BI63" s="127"/>
      <c r="BJ63" s="176"/>
      <c r="BK63" s="184"/>
      <c r="BL63" s="130"/>
      <c r="BM63" s="185"/>
      <c r="BN63" s="69"/>
      <c r="BO63" s="85"/>
      <c r="BP63" s="85"/>
      <c r="BQ63" s="85"/>
      <c r="BR63" s="85"/>
      <c r="BS63" s="85"/>
      <c r="BT63" s="85"/>
      <c r="BU63" s="87"/>
      <c r="BV63" s="87"/>
      <c r="BW63" s="87"/>
      <c r="BX63" s="87"/>
      <c r="BY63" s="87"/>
      <c r="BZ63" s="87"/>
      <c r="CA63" s="90"/>
      <c r="CB63" s="90"/>
      <c r="CC63" s="90"/>
      <c r="CD63" s="90"/>
      <c r="CE63" s="90"/>
      <c r="CF63" s="90"/>
      <c r="CG63" s="85"/>
      <c r="CH63" s="85"/>
      <c r="CI63" s="85"/>
      <c r="CJ63" s="85"/>
      <c r="CK63" s="85"/>
      <c r="CL63" s="87"/>
      <c r="CM63" s="87"/>
      <c r="CN63" s="87"/>
      <c r="CO63" s="87"/>
      <c r="CP63" s="90"/>
      <c r="CQ63" s="90"/>
      <c r="CR63" s="90"/>
      <c r="CS63" s="90"/>
      <c r="CT63" s="85"/>
      <c r="CU63" s="85"/>
      <c r="CV63" s="85"/>
      <c r="CW63" s="85"/>
      <c r="CX63" s="85"/>
      <c r="CY63" s="85"/>
      <c r="CZ63" s="85"/>
      <c r="DA63" s="33"/>
    </row>
    <row r="64" spans="21:105" ht="19" x14ac:dyDescent="0.25">
      <c r="U64" s="79"/>
      <c r="V64" s="118"/>
      <c r="W64" s="121"/>
      <c r="X64" s="124"/>
      <c r="Y64" s="85"/>
      <c r="Z64" s="127"/>
      <c r="AA64" s="130"/>
      <c r="AI64" s="71"/>
      <c r="AJ64" s="63"/>
      <c r="AK64" s="20"/>
      <c r="AL64" s="21"/>
      <c r="AM64" s="22"/>
      <c r="AN64" s="23"/>
      <c r="AO64" s="24"/>
      <c r="AP64" s="25"/>
      <c r="AQ64" s="26"/>
      <c r="AR64" s="27"/>
      <c r="AS64" s="192"/>
      <c r="AT64" s="111"/>
      <c r="AU64" s="193"/>
      <c r="AV64" s="140"/>
      <c r="AW64" s="118"/>
      <c r="AX64" s="141"/>
      <c r="AY64" s="149"/>
      <c r="AZ64" s="121"/>
      <c r="BA64" s="150"/>
      <c r="BB64" s="158"/>
      <c r="BC64" s="124"/>
      <c r="BD64" s="159"/>
      <c r="BE64" s="167"/>
      <c r="BF64" s="85"/>
      <c r="BG64" s="168"/>
      <c r="BH64" s="175"/>
      <c r="BI64" s="127"/>
      <c r="BJ64" s="176"/>
      <c r="BK64" s="184"/>
      <c r="BL64" s="130"/>
      <c r="BM64" s="185"/>
      <c r="BN64" s="69"/>
      <c r="BO64" s="85"/>
      <c r="BP64" s="85"/>
      <c r="BQ64" s="85"/>
      <c r="BR64" s="85"/>
      <c r="BS64" s="85"/>
      <c r="BT64" s="85"/>
      <c r="BU64" s="87"/>
      <c r="BV64" s="87"/>
      <c r="BW64" s="87"/>
      <c r="BX64" s="87"/>
      <c r="BY64" s="87"/>
      <c r="BZ64" s="87"/>
      <c r="CA64" s="90"/>
      <c r="CB64" s="90"/>
      <c r="CC64" s="90"/>
      <c r="CD64" s="90"/>
      <c r="CE64" s="90"/>
      <c r="CF64" s="90"/>
      <c r="CG64" s="85"/>
      <c r="CH64" s="85"/>
      <c r="CI64" s="85"/>
      <c r="CJ64" s="85"/>
      <c r="CK64" s="85"/>
      <c r="CL64" s="87"/>
      <c r="CM64" s="87"/>
      <c r="CN64" s="87"/>
      <c r="CO64" s="87"/>
      <c r="CP64" s="90"/>
      <c r="CQ64" s="90"/>
      <c r="CR64" s="90"/>
      <c r="CS64" s="90"/>
      <c r="CT64" s="85"/>
      <c r="CU64" s="85"/>
      <c r="CV64" s="85"/>
      <c r="CW64" s="85"/>
      <c r="CX64" s="85"/>
      <c r="CY64" s="85"/>
      <c r="CZ64" s="85"/>
      <c r="DA64" s="33"/>
    </row>
    <row r="65" spans="21:105" ht="19" x14ac:dyDescent="0.25">
      <c r="U65" s="79"/>
      <c r="V65" s="118"/>
      <c r="W65" s="121"/>
      <c r="X65" s="124"/>
      <c r="Y65" s="85"/>
      <c r="Z65" s="127"/>
      <c r="AA65" s="130"/>
      <c r="AI65" s="71"/>
      <c r="AJ65" s="63"/>
      <c r="AK65" s="20"/>
      <c r="AL65" s="21"/>
      <c r="AM65" s="22"/>
      <c r="AN65" s="23"/>
      <c r="AO65" s="24"/>
      <c r="AP65" s="25"/>
      <c r="AQ65" s="26"/>
      <c r="AR65" s="27"/>
      <c r="AS65" s="192"/>
      <c r="AT65" s="111"/>
      <c r="AU65" s="193"/>
      <c r="AV65" s="140"/>
      <c r="AW65" s="118"/>
      <c r="AX65" s="141"/>
      <c r="AY65" s="149"/>
      <c r="AZ65" s="121"/>
      <c r="BA65" s="150"/>
      <c r="BB65" s="158"/>
      <c r="BC65" s="124"/>
      <c r="BD65" s="159"/>
      <c r="BE65" s="167"/>
      <c r="BF65" s="85"/>
      <c r="BG65" s="168"/>
      <c r="BH65" s="175"/>
      <c r="BI65" s="127"/>
      <c r="BJ65" s="176"/>
      <c r="BK65" s="184"/>
      <c r="BL65" s="130"/>
      <c r="BM65" s="185"/>
      <c r="BN65" s="69"/>
      <c r="BO65" s="85"/>
      <c r="BP65" s="85"/>
      <c r="BQ65" s="85"/>
      <c r="BR65" s="85"/>
      <c r="BS65" s="85"/>
      <c r="BT65" s="85"/>
      <c r="BU65" s="87"/>
      <c r="BV65" s="87"/>
      <c r="BW65" s="87"/>
      <c r="BX65" s="87"/>
      <c r="BY65" s="87"/>
      <c r="BZ65" s="87"/>
      <c r="CA65" s="90"/>
      <c r="CB65" s="90"/>
      <c r="CC65" s="90"/>
      <c r="CD65" s="90"/>
      <c r="CE65" s="90"/>
      <c r="CF65" s="90"/>
      <c r="CG65" s="85"/>
      <c r="CH65" s="85"/>
      <c r="CI65" s="85"/>
      <c r="CJ65" s="85"/>
      <c r="CK65" s="85"/>
      <c r="CL65" s="87"/>
      <c r="CM65" s="87"/>
      <c r="CN65" s="87"/>
      <c r="CO65" s="87"/>
      <c r="CP65" s="90"/>
      <c r="CQ65" s="90"/>
      <c r="CR65" s="90"/>
      <c r="CS65" s="90"/>
      <c r="CT65" s="85"/>
      <c r="CU65" s="85"/>
      <c r="CV65" s="85"/>
      <c r="CW65" s="85"/>
      <c r="CX65" s="85"/>
      <c r="CY65" s="85"/>
      <c r="CZ65" s="85"/>
      <c r="DA65" s="33"/>
    </row>
    <row r="66" spans="21:105" ht="19" x14ac:dyDescent="0.25">
      <c r="U66" s="79"/>
      <c r="V66" s="118"/>
      <c r="W66" s="121"/>
      <c r="X66" s="124"/>
      <c r="Y66" s="85"/>
      <c r="Z66" s="127"/>
      <c r="AA66" s="130"/>
      <c r="AI66" s="71"/>
      <c r="AJ66" s="63"/>
      <c r="AK66" s="20"/>
      <c r="AL66" s="21"/>
      <c r="AM66" s="22"/>
      <c r="AN66" s="23"/>
      <c r="AO66" s="24"/>
      <c r="AP66" s="25"/>
      <c r="AQ66" s="26"/>
      <c r="AR66" s="27"/>
      <c r="AS66" s="192"/>
      <c r="AT66" s="111"/>
      <c r="AU66" s="193"/>
      <c r="AV66" s="140"/>
      <c r="AW66" s="118"/>
      <c r="AX66" s="141"/>
      <c r="AY66" s="149"/>
      <c r="AZ66" s="121"/>
      <c r="BA66" s="150"/>
      <c r="BB66" s="158"/>
      <c r="BC66" s="124"/>
      <c r="BD66" s="159"/>
      <c r="BE66" s="167"/>
      <c r="BF66" s="85"/>
      <c r="BG66" s="168"/>
      <c r="BH66" s="175"/>
      <c r="BI66" s="127"/>
      <c r="BJ66" s="176"/>
      <c r="BK66" s="184"/>
      <c r="BL66" s="130"/>
      <c r="BM66" s="185"/>
      <c r="BN66" s="69"/>
      <c r="BO66" s="85"/>
      <c r="BP66" s="85"/>
      <c r="BQ66" s="85"/>
      <c r="BR66" s="85"/>
      <c r="BS66" s="85"/>
      <c r="BT66" s="85"/>
      <c r="BU66" s="87"/>
      <c r="BV66" s="87"/>
      <c r="BW66" s="87"/>
      <c r="BX66" s="87"/>
      <c r="BY66" s="87"/>
      <c r="BZ66" s="87"/>
      <c r="CA66" s="90"/>
      <c r="CB66" s="90"/>
      <c r="CC66" s="90"/>
      <c r="CD66" s="90"/>
      <c r="CE66" s="90"/>
      <c r="CF66" s="90"/>
      <c r="CG66" s="85"/>
      <c r="CH66" s="85"/>
      <c r="CI66" s="85"/>
      <c r="CJ66" s="85"/>
      <c r="CK66" s="85"/>
      <c r="CL66" s="87"/>
      <c r="CM66" s="87"/>
      <c r="CN66" s="87"/>
      <c r="CO66" s="87"/>
      <c r="CP66" s="90"/>
      <c r="CQ66" s="90"/>
      <c r="CR66" s="90"/>
      <c r="CS66" s="90"/>
      <c r="CT66" s="85"/>
      <c r="CU66" s="85"/>
      <c r="CV66" s="85"/>
      <c r="CW66" s="85"/>
      <c r="CX66" s="85"/>
      <c r="CY66" s="85"/>
      <c r="CZ66" s="85"/>
      <c r="DA66" s="33"/>
    </row>
    <row r="67" spans="21:105" ht="19" x14ac:dyDescent="0.25">
      <c r="U67" s="79"/>
      <c r="V67" s="118"/>
      <c r="W67" s="121"/>
      <c r="X67" s="124"/>
      <c r="Y67" s="85"/>
      <c r="Z67" s="127"/>
      <c r="AA67" s="130"/>
      <c r="AI67" s="71"/>
      <c r="AJ67" s="63"/>
      <c r="AK67" s="20"/>
      <c r="AL67" s="21"/>
      <c r="AM67" s="22"/>
      <c r="AN67" s="23"/>
      <c r="AO67" s="24"/>
      <c r="AP67" s="25"/>
      <c r="AQ67" s="26"/>
      <c r="AR67" s="27"/>
      <c r="AS67" s="192"/>
      <c r="AT67" s="111"/>
      <c r="AU67" s="193"/>
      <c r="AV67" s="140"/>
      <c r="AW67" s="118"/>
      <c r="AX67" s="141"/>
      <c r="AY67" s="149"/>
      <c r="AZ67" s="121"/>
      <c r="BA67" s="150"/>
      <c r="BB67" s="158"/>
      <c r="BC67" s="124"/>
      <c r="BD67" s="159"/>
      <c r="BE67" s="167"/>
      <c r="BF67" s="85"/>
      <c r="BG67" s="168"/>
      <c r="BH67" s="175"/>
      <c r="BI67" s="127"/>
      <c r="BJ67" s="176"/>
      <c r="BK67" s="184"/>
      <c r="BL67" s="130"/>
      <c r="BM67" s="185"/>
      <c r="BN67" s="69"/>
      <c r="BO67" s="85"/>
      <c r="BP67" s="85"/>
      <c r="BQ67" s="85"/>
      <c r="BR67" s="85"/>
      <c r="BS67" s="85"/>
      <c r="BT67" s="85"/>
      <c r="BU67" s="87"/>
      <c r="BV67" s="87"/>
      <c r="BW67" s="87"/>
      <c r="BX67" s="87"/>
      <c r="BY67" s="87"/>
      <c r="BZ67" s="87"/>
      <c r="CA67" s="90"/>
      <c r="CB67" s="90"/>
      <c r="CC67" s="90"/>
      <c r="CD67" s="90"/>
      <c r="CE67" s="90"/>
      <c r="CF67" s="90"/>
      <c r="CG67" s="85"/>
      <c r="CH67" s="85"/>
      <c r="CI67" s="85"/>
      <c r="CJ67" s="85"/>
      <c r="CK67" s="85"/>
      <c r="CL67" s="87"/>
      <c r="CM67" s="87"/>
      <c r="CN67" s="87"/>
      <c r="CO67" s="87"/>
      <c r="CP67" s="90"/>
      <c r="CQ67" s="90"/>
      <c r="CR67" s="90"/>
      <c r="CS67" s="90"/>
      <c r="CT67" s="85"/>
      <c r="CU67" s="85"/>
      <c r="CV67" s="85"/>
      <c r="CW67" s="85"/>
      <c r="CX67" s="85"/>
      <c r="CY67" s="85"/>
      <c r="CZ67" s="85"/>
      <c r="DA67" s="33"/>
    </row>
    <row r="68" spans="21:105" ht="19" x14ac:dyDescent="0.25">
      <c r="U68" s="79"/>
      <c r="V68" s="118"/>
      <c r="W68" s="121"/>
      <c r="X68" s="124"/>
      <c r="Y68" s="85"/>
      <c r="Z68" s="127"/>
      <c r="AA68" s="130"/>
      <c r="AI68" s="71"/>
      <c r="AJ68" s="63"/>
      <c r="AK68" s="20"/>
      <c r="AL68" s="21"/>
      <c r="AM68" s="22"/>
      <c r="AN68" s="23"/>
      <c r="AO68" s="24"/>
      <c r="AP68" s="25"/>
      <c r="AQ68" s="26"/>
      <c r="AR68" s="27"/>
      <c r="AS68" s="192"/>
      <c r="AT68" s="111"/>
      <c r="AU68" s="193"/>
      <c r="AV68" s="140"/>
      <c r="AW68" s="118"/>
      <c r="AX68" s="141"/>
      <c r="AY68" s="149"/>
      <c r="AZ68" s="121"/>
      <c r="BA68" s="150"/>
      <c r="BB68" s="158"/>
      <c r="BC68" s="124"/>
      <c r="BD68" s="159"/>
      <c r="BE68" s="167"/>
      <c r="BF68" s="85"/>
      <c r="BG68" s="168"/>
      <c r="BH68" s="175"/>
      <c r="BI68" s="127"/>
      <c r="BJ68" s="176"/>
      <c r="BK68" s="184"/>
      <c r="BL68" s="130"/>
      <c r="BM68" s="185"/>
      <c r="BN68" s="69"/>
      <c r="BO68" s="85"/>
      <c r="BP68" s="85"/>
      <c r="BQ68" s="85"/>
      <c r="BR68" s="85"/>
      <c r="BS68" s="85"/>
      <c r="BT68" s="85"/>
      <c r="BU68" s="87"/>
      <c r="BV68" s="87"/>
      <c r="BW68" s="87"/>
      <c r="BX68" s="87"/>
      <c r="BY68" s="87"/>
      <c r="BZ68" s="87"/>
      <c r="CA68" s="90"/>
      <c r="CB68" s="90"/>
      <c r="CC68" s="90"/>
      <c r="CD68" s="90"/>
      <c r="CE68" s="90"/>
      <c r="CF68" s="90"/>
      <c r="CG68" s="85"/>
      <c r="CH68" s="85"/>
      <c r="CI68" s="85"/>
      <c r="CJ68" s="85"/>
      <c r="CK68" s="85"/>
      <c r="CL68" s="87"/>
      <c r="CM68" s="87"/>
      <c r="CN68" s="87"/>
      <c r="CO68" s="87"/>
      <c r="CP68" s="90"/>
      <c r="CQ68" s="90"/>
      <c r="CR68" s="90"/>
      <c r="CS68" s="90"/>
      <c r="CT68" s="85"/>
      <c r="CU68" s="85"/>
      <c r="CV68" s="85"/>
      <c r="CW68" s="85"/>
      <c r="CX68" s="85"/>
      <c r="CY68" s="85"/>
      <c r="CZ68" s="85"/>
      <c r="DA68" s="33"/>
    </row>
    <row r="69" spans="21:105" ht="19" x14ac:dyDescent="0.25">
      <c r="U69" s="79"/>
      <c r="V69" s="118"/>
      <c r="W69" s="121"/>
      <c r="X69" s="124"/>
      <c r="Y69" s="85"/>
      <c r="Z69" s="127"/>
      <c r="AA69" s="130"/>
      <c r="AI69" s="71"/>
      <c r="AJ69" s="63"/>
      <c r="AK69" s="20"/>
      <c r="AL69" s="21"/>
      <c r="AM69" s="22"/>
      <c r="AN69" s="23"/>
      <c r="AO69" s="24"/>
      <c r="AP69" s="25"/>
      <c r="AQ69" s="26"/>
      <c r="AR69" s="27"/>
      <c r="AS69" s="192"/>
      <c r="AT69" s="111"/>
      <c r="AU69" s="193"/>
      <c r="AV69" s="140"/>
      <c r="AW69" s="118"/>
      <c r="AX69" s="141"/>
      <c r="AY69" s="149"/>
      <c r="AZ69" s="121"/>
      <c r="BA69" s="150"/>
      <c r="BB69" s="158"/>
      <c r="BC69" s="124"/>
      <c r="BD69" s="159"/>
      <c r="BE69" s="167"/>
      <c r="BF69" s="85"/>
      <c r="BG69" s="168"/>
      <c r="BH69" s="175"/>
      <c r="BI69" s="127"/>
      <c r="BJ69" s="176"/>
      <c r="BK69" s="184"/>
      <c r="BL69" s="130"/>
      <c r="BM69" s="185"/>
      <c r="BN69" s="69"/>
      <c r="BO69" s="85"/>
      <c r="BP69" s="85"/>
      <c r="BQ69" s="85"/>
      <c r="BR69" s="85"/>
      <c r="BS69" s="85"/>
      <c r="BT69" s="85"/>
      <c r="BU69" s="87"/>
      <c r="BV69" s="87"/>
      <c r="BW69" s="87"/>
      <c r="BX69" s="87"/>
      <c r="BY69" s="87"/>
      <c r="BZ69" s="87"/>
      <c r="CA69" s="90"/>
      <c r="CB69" s="90"/>
      <c r="CC69" s="90"/>
      <c r="CD69" s="90"/>
      <c r="CE69" s="90"/>
      <c r="CF69" s="90"/>
      <c r="CG69" s="85"/>
      <c r="CH69" s="85"/>
      <c r="CI69" s="85"/>
      <c r="CJ69" s="85"/>
      <c r="CK69" s="85"/>
      <c r="CL69" s="87"/>
      <c r="CM69" s="87"/>
      <c r="CN69" s="87"/>
      <c r="CO69" s="87"/>
      <c r="CP69" s="90"/>
      <c r="CQ69" s="90"/>
      <c r="CR69" s="90"/>
      <c r="CS69" s="90"/>
      <c r="CT69" s="85"/>
      <c r="CU69" s="85"/>
      <c r="CV69" s="85"/>
      <c r="CW69" s="85"/>
      <c r="CX69" s="85"/>
      <c r="CY69" s="85"/>
      <c r="CZ69" s="85"/>
      <c r="DA69" s="33"/>
    </row>
    <row r="70" spans="21:105" ht="19" x14ac:dyDescent="0.25">
      <c r="U70" s="79"/>
      <c r="V70" s="118"/>
      <c r="W70" s="121"/>
      <c r="X70" s="124"/>
      <c r="Y70" s="85"/>
      <c r="Z70" s="127"/>
      <c r="AA70" s="130"/>
      <c r="AI70" s="71"/>
      <c r="AJ70" s="63"/>
      <c r="AK70" s="20"/>
      <c r="AL70" s="21"/>
      <c r="AM70" s="22"/>
      <c r="AN70" s="23"/>
      <c r="AO70" s="24"/>
      <c r="AP70" s="25"/>
      <c r="AQ70" s="26"/>
      <c r="AR70" s="27"/>
      <c r="AS70" s="192"/>
      <c r="AT70" s="111"/>
      <c r="AU70" s="193"/>
      <c r="AV70" s="140"/>
      <c r="AW70" s="118"/>
      <c r="AX70" s="141"/>
      <c r="AY70" s="149"/>
      <c r="AZ70" s="121"/>
      <c r="BA70" s="150"/>
      <c r="BB70" s="158"/>
      <c r="BC70" s="124"/>
      <c r="BD70" s="159"/>
      <c r="BE70" s="167"/>
      <c r="BF70" s="85"/>
      <c r="BG70" s="168"/>
      <c r="BH70" s="175"/>
      <c r="BI70" s="127"/>
      <c r="BJ70" s="176"/>
      <c r="BK70" s="184"/>
      <c r="BL70" s="130"/>
      <c r="BM70" s="185"/>
      <c r="BN70" s="69"/>
      <c r="BO70" s="85"/>
      <c r="BP70" s="85"/>
      <c r="BQ70" s="85"/>
      <c r="BR70" s="85"/>
      <c r="BS70" s="85"/>
      <c r="BT70" s="85"/>
      <c r="BU70" s="87"/>
      <c r="BV70" s="87"/>
      <c r="BW70" s="87"/>
      <c r="BX70" s="87"/>
      <c r="BY70" s="87"/>
      <c r="BZ70" s="87"/>
      <c r="CA70" s="90"/>
      <c r="CB70" s="90"/>
      <c r="CC70" s="90"/>
      <c r="CD70" s="90"/>
      <c r="CE70" s="90"/>
      <c r="CF70" s="90"/>
      <c r="CG70" s="85"/>
      <c r="CH70" s="85"/>
      <c r="CI70" s="85"/>
      <c r="CJ70" s="85"/>
      <c r="CK70" s="85"/>
      <c r="CL70" s="87"/>
      <c r="CM70" s="87"/>
      <c r="CN70" s="87"/>
      <c r="CO70" s="87"/>
      <c r="CP70" s="90"/>
      <c r="CQ70" s="90"/>
      <c r="CR70" s="90"/>
      <c r="CS70" s="90"/>
      <c r="CT70" s="85"/>
      <c r="CU70" s="85"/>
      <c r="CV70" s="85"/>
      <c r="CW70" s="85"/>
      <c r="CX70" s="85"/>
      <c r="CY70" s="85"/>
      <c r="CZ70" s="85"/>
      <c r="DA70" s="33"/>
    </row>
    <row r="71" spans="21:105" ht="19" x14ac:dyDescent="0.25">
      <c r="U71" s="79"/>
      <c r="V71" s="118"/>
      <c r="W71" s="121"/>
      <c r="X71" s="124"/>
      <c r="Y71" s="85"/>
      <c r="Z71" s="127"/>
      <c r="AA71" s="130"/>
      <c r="AI71" s="71"/>
      <c r="AJ71" s="63"/>
      <c r="AK71" s="20"/>
      <c r="AL71" s="21"/>
      <c r="AM71" s="22"/>
      <c r="AN71" s="23"/>
      <c r="AO71" s="24"/>
      <c r="AP71" s="25"/>
      <c r="AQ71" s="26"/>
      <c r="AR71" s="27"/>
      <c r="AS71" s="192"/>
      <c r="AT71" s="111"/>
      <c r="AU71" s="193"/>
      <c r="AV71" s="140"/>
      <c r="AW71" s="118"/>
      <c r="AX71" s="141"/>
      <c r="AY71" s="149"/>
      <c r="AZ71" s="121"/>
      <c r="BA71" s="150"/>
      <c r="BB71" s="158"/>
      <c r="BC71" s="124"/>
      <c r="BD71" s="159"/>
      <c r="BE71" s="167"/>
      <c r="BF71" s="85"/>
      <c r="BG71" s="168"/>
      <c r="BH71" s="175"/>
      <c r="BI71" s="127"/>
      <c r="BJ71" s="176"/>
      <c r="BK71" s="184"/>
      <c r="BL71" s="130"/>
      <c r="BM71" s="185"/>
      <c r="BN71" s="69"/>
      <c r="BO71" s="85"/>
      <c r="BP71" s="85"/>
      <c r="BQ71" s="85"/>
      <c r="BR71" s="85"/>
      <c r="BS71" s="85"/>
      <c r="BT71" s="85"/>
      <c r="BU71" s="87"/>
      <c r="BV71" s="87"/>
      <c r="BW71" s="87"/>
      <c r="BX71" s="87"/>
      <c r="BY71" s="87"/>
      <c r="BZ71" s="87"/>
      <c r="CA71" s="90"/>
      <c r="CB71" s="90"/>
      <c r="CC71" s="90"/>
      <c r="CD71" s="90"/>
      <c r="CE71" s="90"/>
      <c r="CF71" s="90"/>
      <c r="CG71" s="85"/>
      <c r="CH71" s="85"/>
      <c r="CI71" s="85"/>
      <c r="CJ71" s="85"/>
      <c r="CK71" s="85"/>
      <c r="CL71" s="87"/>
      <c r="CM71" s="87"/>
      <c r="CN71" s="87"/>
      <c r="CO71" s="87"/>
      <c r="CP71" s="90"/>
      <c r="CQ71" s="90"/>
      <c r="CR71" s="90"/>
      <c r="CS71" s="90"/>
      <c r="CT71" s="85"/>
      <c r="CU71" s="85"/>
      <c r="CV71" s="85"/>
      <c r="CW71" s="85"/>
      <c r="CX71" s="85"/>
      <c r="CY71" s="85"/>
      <c r="CZ71" s="85"/>
      <c r="DA71" s="33"/>
    </row>
    <row r="72" spans="21:105" ht="19" x14ac:dyDescent="0.25">
      <c r="U72" s="79"/>
      <c r="V72" s="118"/>
      <c r="W72" s="121"/>
      <c r="X72" s="124"/>
      <c r="Y72" s="85"/>
      <c r="Z72" s="127"/>
      <c r="AA72" s="130"/>
      <c r="AI72" s="71"/>
      <c r="AJ72" s="63"/>
      <c r="AK72" s="20"/>
      <c r="AL72" s="21"/>
      <c r="AM72" s="22"/>
      <c r="AN72" s="23"/>
      <c r="AO72" s="24"/>
      <c r="AP72" s="25"/>
      <c r="AQ72" s="26"/>
      <c r="AR72" s="27"/>
      <c r="AS72" s="192"/>
      <c r="AT72" s="111"/>
      <c r="AU72" s="193"/>
      <c r="AV72" s="140"/>
      <c r="AW72" s="118"/>
      <c r="AX72" s="141"/>
      <c r="AY72" s="149"/>
      <c r="AZ72" s="121"/>
      <c r="BA72" s="150"/>
      <c r="BB72" s="158"/>
      <c r="BC72" s="124"/>
      <c r="BD72" s="159"/>
      <c r="BE72" s="167"/>
      <c r="BF72" s="85"/>
      <c r="BG72" s="168"/>
      <c r="BH72" s="175"/>
      <c r="BI72" s="127"/>
      <c r="BJ72" s="176"/>
      <c r="BK72" s="184"/>
      <c r="BL72" s="130"/>
      <c r="BM72" s="185"/>
      <c r="BN72" s="69"/>
      <c r="BO72" s="85"/>
      <c r="BP72" s="85"/>
      <c r="BQ72" s="85"/>
      <c r="BR72" s="85"/>
      <c r="BS72" s="85"/>
      <c r="BT72" s="85"/>
      <c r="BU72" s="87"/>
      <c r="BV72" s="87"/>
      <c r="BW72" s="87"/>
      <c r="BX72" s="87"/>
      <c r="BY72" s="87"/>
      <c r="BZ72" s="87"/>
      <c r="CA72" s="90"/>
      <c r="CB72" s="90"/>
      <c r="CC72" s="90"/>
      <c r="CD72" s="90"/>
      <c r="CE72" s="90"/>
      <c r="CF72" s="90"/>
      <c r="CG72" s="85"/>
      <c r="CH72" s="85"/>
      <c r="CI72" s="85"/>
      <c r="CJ72" s="85"/>
      <c r="CK72" s="85"/>
      <c r="CL72" s="87"/>
      <c r="CM72" s="87"/>
      <c r="CN72" s="87"/>
      <c r="CO72" s="87"/>
      <c r="CP72" s="90"/>
      <c r="CQ72" s="90"/>
      <c r="CR72" s="90"/>
      <c r="CS72" s="90"/>
      <c r="CT72" s="85"/>
      <c r="CU72" s="85"/>
      <c r="CV72" s="85"/>
      <c r="CW72" s="85"/>
      <c r="CX72" s="85"/>
      <c r="CY72" s="85"/>
      <c r="CZ72" s="85"/>
      <c r="DA72" s="33"/>
    </row>
    <row r="73" spans="21:105" ht="19" x14ac:dyDescent="0.25">
      <c r="U73" s="79"/>
      <c r="V73" s="118"/>
      <c r="W73" s="121"/>
      <c r="X73" s="124"/>
      <c r="Y73" s="85"/>
      <c r="Z73" s="127"/>
      <c r="AA73" s="130"/>
      <c r="AI73" s="71"/>
      <c r="AJ73" s="63"/>
      <c r="AK73" s="20"/>
      <c r="AL73" s="21"/>
      <c r="AM73" s="22"/>
      <c r="AN73" s="23"/>
      <c r="AO73" s="24"/>
      <c r="AP73" s="25"/>
      <c r="AQ73" s="26"/>
      <c r="AR73" s="27"/>
      <c r="AS73" s="192"/>
      <c r="AT73" s="111"/>
      <c r="AU73" s="193"/>
      <c r="AV73" s="140"/>
      <c r="AW73" s="118"/>
      <c r="AX73" s="141"/>
      <c r="AY73" s="149"/>
      <c r="AZ73" s="121"/>
      <c r="BA73" s="150"/>
      <c r="BB73" s="158"/>
      <c r="BC73" s="124"/>
      <c r="BD73" s="159"/>
      <c r="BE73" s="167"/>
      <c r="BF73" s="85"/>
      <c r="BG73" s="168"/>
      <c r="BH73" s="175"/>
      <c r="BI73" s="127"/>
      <c r="BJ73" s="176"/>
      <c r="BK73" s="184"/>
      <c r="BL73" s="130"/>
      <c r="BM73" s="185"/>
      <c r="BN73" s="69"/>
      <c r="BO73" s="85"/>
      <c r="BP73" s="85"/>
      <c r="BQ73" s="85"/>
      <c r="BR73" s="85"/>
      <c r="BS73" s="85"/>
      <c r="BT73" s="85"/>
      <c r="BU73" s="87"/>
      <c r="BV73" s="87"/>
      <c r="BW73" s="87"/>
      <c r="BX73" s="87"/>
      <c r="BY73" s="87"/>
      <c r="BZ73" s="87"/>
      <c r="CA73" s="90"/>
      <c r="CB73" s="90"/>
      <c r="CC73" s="90"/>
      <c r="CD73" s="90"/>
      <c r="CE73" s="90"/>
      <c r="CF73" s="90"/>
      <c r="CG73" s="85"/>
      <c r="CH73" s="85"/>
      <c r="CI73" s="85"/>
      <c r="CJ73" s="85"/>
      <c r="CK73" s="85"/>
      <c r="CL73" s="87"/>
      <c r="CM73" s="87"/>
      <c r="CN73" s="87"/>
      <c r="CO73" s="87"/>
      <c r="CP73" s="90"/>
      <c r="CQ73" s="90"/>
      <c r="CR73" s="90"/>
      <c r="CS73" s="90"/>
      <c r="CT73" s="85"/>
      <c r="CU73" s="85"/>
      <c r="CV73" s="85"/>
      <c r="CW73" s="85"/>
      <c r="CX73" s="85"/>
      <c r="CY73" s="85"/>
      <c r="CZ73" s="85"/>
      <c r="DA73" s="33"/>
    </row>
    <row r="74" spans="21:105" ht="19" x14ac:dyDescent="0.25">
      <c r="U74" s="79"/>
      <c r="V74" s="118"/>
      <c r="W74" s="121"/>
      <c r="X74" s="124"/>
      <c r="Y74" s="85"/>
      <c r="Z74" s="127"/>
      <c r="AA74" s="130"/>
      <c r="AI74" s="71"/>
      <c r="AJ74" s="63"/>
      <c r="AK74" s="20"/>
      <c r="AL74" s="21"/>
      <c r="AM74" s="22"/>
      <c r="AN74" s="23"/>
      <c r="AO74" s="24"/>
      <c r="AP74" s="25"/>
      <c r="AQ74" s="26"/>
      <c r="AR74" s="27"/>
      <c r="AS74" s="192"/>
      <c r="AT74" s="111"/>
      <c r="AU74" s="193"/>
      <c r="AV74" s="140"/>
      <c r="AW74" s="118"/>
      <c r="AX74" s="141"/>
      <c r="AY74" s="149"/>
      <c r="AZ74" s="121"/>
      <c r="BA74" s="150"/>
      <c r="BB74" s="158"/>
      <c r="BC74" s="124"/>
      <c r="BD74" s="159"/>
      <c r="BE74" s="167"/>
      <c r="BF74" s="85"/>
      <c r="BG74" s="168"/>
      <c r="BH74" s="175"/>
      <c r="BI74" s="127"/>
      <c r="BJ74" s="176"/>
      <c r="BK74" s="184"/>
      <c r="BL74" s="130"/>
      <c r="BM74" s="185"/>
      <c r="BN74" s="69"/>
      <c r="BO74" s="85"/>
      <c r="BP74" s="85"/>
      <c r="BQ74" s="85"/>
      <c r="BR74" s="85"/>
      <c r="BS74" s="85"/>
      <c r="BT74" s="85"/>
      <c r="BU74" s="87"/>
      <c r="BV74" s="87"/>
      <c r="BW74" s="87"/>
      <c r="BX74" s="87"/>
      <c r="BY74" s="87"/>
      <c r="BZ74" s="87"/>
      <c r="CA74" s="90"/>
      <c r="CB74" s="90"/>
      <c r="CC74" s="90"/>
      <c r="CD74" s="90"/>
      <c r="CE74" s="90"/>
      <c r="CF74" s="90"/>
      <c r="CG74" s="85"/>
      <c r="CH74" s="85"/>
      <c r="CI74" s="85"/>
      <c r="CJ74" s="85"/>
      <c r="CK74" s="85"/>
      <c r="CL74" s="87"/>
      <c r="CM74" s="87"/>
      <c r="CN74" s="87"/>
      <c r="CO74" s="87"/>
      <c r="CP74" s="90"/>
      <c r="CQ74" s="90"/>
      <c r="CR74" s="90"/>
      <c r="CS74" s="90"/>
      <c r="CT74" s="85"/>
      <c r="CU74" s="85"/>
      <c r="CV74" s="85"/>
      <c r="CW74" s="85"/>
      <c r="CX74" s="85"/>
      <c r="CY74" s="85"/>
      <c r="CZ74" s="85"/>
      <c r="DA74" s="33"/>
    </row>
    <row r="75" spans="21:105" ht="19" x14ac:dyDescent="0.25">
      <c r="AI75" s="71"/>
      <c r="AJ75" s="63"/>
      <c r="AK75" s="20"/>
      <c r="AL75" s="21"/>
      <c r="AM75" s="22"/>
      <c r="AN75" s="23"/>
      <c r="AO75" s="24"/>
      <c r="AP75" s="25"/>
      <c r="AQ75" s="26"/>
      <c r="AR75" s="27"/>
      <c r="AS75" s="192"/>
      <c r="AT75" s="111"/>
      <c r="AU75" s="193"/>
      <c r="AV75" s="140"/>
      <c r="AW75" s="118"/>
      <c r="AX75" s="141"/>
      <c r="AY75" s="149"/>
      <c r="AZ75" s="121"/>
      <c r="BA75" s="150"/>
      <c r="BB75" s="158"/>
      <c r="BC75" s="124"/>
      <c r="BD75" s="159"/>
      <c r="BE75" s="167"/>
      <c r="BF75" s="85"/>
      <c r="BG75" s="168"/>
      <c r="BH75" s="175"/>
      <c r="BI75" s="127"/>
      <c r="BJ75" s="176"/>
      <c r="BK75" s="184"/>
      <c r="BL75" s="130"/>
      <c r="BM75" s="185"/>
      <c r="BN75" s="69"/>
      <c r="BO75" s="85"/>
      <c r="BP75" s="85"/>
      <c r="BQ75" s="85"/>
      <c r="BR75" s="85"/>
      <c r="BS75" s="85"/>
      <c r="BT75" s="85"/>
      <c r="BU75" s="87"/>
      <c r="BV75" s="87"/>
      <c r="BW75" s="87"/>
      <c r="BX75" s="87"/>
      <c r="BY75" s="87"/>
      <c r="BZ75" s="87"/>
      <c r="CA75" s="90"/>
      <c r="CB75" s="90"/>
      <c r="CC75" s="90"/>
      <c r="CD75" s="90"/>
      <c r="CE75" s="90"/>
      <c r="CF75" s="90"/>
      <c r="CG75" s="85"/>
      <c r="CH75" s="85"/>
      <c r="CI75" s="85"/>
      <c r="CJ75" s="85"/>
      <c r="CK75" s="85"/>
      <c r="CL75" s="87"/>
      <c r="CM75" s="87"/>
      <c r="CN75" s="87"/>
      <c r="CO75" s="87"/>
      <c r="CP75" s="90"/>
      <c r="CQ75" s="90"/>
      <c r="CR75" s="90"/>
      <c r="CS75" s="90"/>
      <c r="CT75" s="85"/>
      <c r="CU75" s="85"/>
      <c r="CV75" s="85"/>
      <c r="CW75" s="85"/>
      <c r="CX75" s="85"/>
      <c r="CY75" s="85"/>
      <c r="CZ75" s="85"/>
      <c r="DA75" s="33">
        <f t="shared" ref="DA75:DA101" si="0">D75</f>
        <v>0</v>
      </c>
    </row>
    <row r="76" spans="21:105" ht="19" x14ac:dyDescent="0.25">
      <c r="AI76" s="71"/>
      <c r="AJ76" s="63"/>
      <c r="AK76" s="20"/>
      <c r="AL76" s="21"/>
      <c r="AM76" s="22"/>
      <c r="AN76" s="23"/>
      <c r="AO76" s="24"/>
      <c r="AP76" s="25"/>
      <c r="AQ76" s="26"/>
      <c r="AR76" s="27"/>
      <c r="AS76" s="192"/>
      <c r="AT76" s="111"/>
      <c r="AU76" s="193"/>
      <c r="AV76" s="140"/>
      <c r="AW76" s="118"/>
      <c r="AX76" s="141"/>
      <c r="AY76" s="149"/>
      <c r="AZ76" s="121"/>
      <c r="BA76" s="150"/>
      <c r="BB76" s="158"/>
      <c r="BC76" s="124"/>
      <c r="BD76" s="159"/>
      <c r="BE76" s="167"/>
      <c r="BF76" s="85"/>
      <c r="BG76" s="168"/>
      <c r="BH76" s="175"/>
      <c r="BI76" s="127"/>
      <c r="BJ76" s="176"/>
      <c r="BK76" s="184"/>
      <c r="BL76" s="130"/>
      <c r="BM76" s="185"/>
      <c r="BN76" s="69"/>
      <c r="BO76" s="85"/>
      <c r="BP76" s="85"/>
      <c r="BQ76" s="85"/>
      <c r="BR76" s="85"/>
      <c r="BS76" s="85"/>
      <c r="BT76" s="85"/>
      <c r="BU76" s="87"/>
      <c r="BV76" s="87"/>
      <c r="BW76" s="87"/>
      <c r="BX76" s="87"/>
      <c r="BY76" s="87"/>
      <c r="BZ76" s="87"/>
      <c r="CA76" s="90"/>
      <c r="CB76" s="90"/>
      <c r="CC76" s="90"/>
      <c r="CD76" s="90"/>
      <c r="CE76" s="90"/>
      <c r="CF76" s="90"/>
      <c r="CG76" s="85"/>
      <c r="CH76" s="85"/>
      <c r="CI76" s="85"/>
      <c r="CJ76" s="85"/>
      <c r="CK76" s="85"/>
      <c r="CL76" s="87"/>
      <c r="CM76" s="87"/>
      <c r="CN76" s="87"/>
      <c r="CO76" s="87"/>
      <c r="CP76" s="90"/>
      <c r="CQ76" s="90"/>
      <c r="CR76" s="90"/>
      <c r="CS76" s="90"/>
      <c r="CT76" s="85"/>
      <c r="CU76" s="85"/>
      <c r="CV76" s="85"/>
      <c r="CW76" s="85"/>
      <c r="CX76" s="85"/>
      <c r="CY76" s="85"/>
      <c r="CZ76" s="85"/>
      <c r="DA76" s="33">
        <f t="shared" si="0"/>
        <v>0</v>
      </c>
    </row>
    <row r="77" spans="21:105" ht="19" x14ac:dyDescent="0.25">
      <c r="AI77" s="71"/>
      <c r="AJ77" s="63"/>
      <c r="AK77" s="20"/>
      <c r="AL77" s="21"/>
      <c r="AM77" s="22"/>
      <c r="AN77" s="23"/>
      <c r="AO77" s="24"/>
      <c r="AP77" s="25"/>
      <c r="AQ77" s="26"/>
      <c r="AR77" s="27"/>
      <c r="AS77" s="192"/>
      <c r="AT77" s="111"/>
      <c r="AU77" s="193"/>
      <c r="AV77" s="140"/>
      <c r="AW77" s="118"/>
      <c r="AX77" s="141"/>
      <c r="AY77" s="149"/>
      <c r="AZ77" s="121"/>
      <c r="BA77" s="150"/>
      <c r="BB77" s="158"/>
      <c r="BC77" s="124"/>
      <c r="BD77" s="159"/>
      <c r="BE77" s="167"/>
      <c r="BF77" s="85"/>
      <c r="BG77" s="168"/>
      <c r="BH77" s="175"/>
      <c r="BI77" s="127"/>
      <c r="BJ77" s="176"/>
      <c r="BK77" s="184"/>
      <c r="BL77" s="130"/>
      <c r="BM77" s="185"/>
      <c r="BN77" s="69"/>
      <c r="BO77" s="85"/>
      <c r="BP77" s="85"/>
      <c r="BQ77" s="85"/>
      <c r="BR77" s="85"/>
      <c r="BS77" s="85"/>
      <c r="BT77" s="85"/>
      <c r="BU77" s="87"/>
      <c r="BV77" s="87"/>
      <c r="BW77" s="87"/>
      <c r="BX77" s="87"/>
      <c r="BY77" s="87"/>
      <c r="BZ77" s="87"/>
      <c r="CA77" s="90"/>
      <c r="CB77" s="90"/>
      <c r="CC77" s="90"/>
      <c r="CD77" s="90"/>
      <c r="CE77" s="90"/>
      <c r="CF77" s="90"/>
      <c r="CG77" s="85"/>
      <c r="CH77" s="85"/>
      <c r="CI77" s="85"/>
      <c r="CJ77" s="85"/>
      <c r="CK77" s="85"/>
      <c r="CL77" s="87"/>
      <c r="CM77" s="87"/>
      <c r="CN77" s="87"/>
      <c r="CO77" s="87"/>
      <c r="CP77" s="90"/>
      <c r="CQ77" s="90"/>
      <c r="CR77" s="90"/>
      <c r="CS77" s="90"/>
      <c r="CT77" s="85"/>
      <c r="CU77" s="85"/>
      <c r="CV77" s="85"/>
      <c r="CW77" s="85"/>
      <c r="CX77" s="85"/>
      <c r="CY77" s="85"/>
      <c r="CZ77" s="85"/>
      <c r="DA77" s="33">
        <f t="shared" si="0"/>
        <v>0</v>
      </c>
    </row>
    <row r="78" spans="21:105" ht="19" x14ac:dyDescent="0.25">
      <c r="AI78" s="71"/>
      <c r="AJ78" s="63"/>
      <c r="AK78" s="20"/>
      <c r="AL78" s="21"/>
      <c r="AM78" s="22"/>
      <c r="AN78" s="23"/>
      <c r="AO78" s="24"/>
      <c r="AP78" s="25"/>
      <c r="AQ78" s="26"/>
      <c r="AR78" s="27"/>
      <c r="AS78" s="192"/>
      <c r="AT78" s="111"/>
      <c r="AU78" s="193"/>
      <c r="AV78" s="140"/>
      <c r="AW78" s="118"/>
      <c r="AX78" s="141"/>
      <c r="AY78" s="149"/>
      <c r="AZ78" s="121"/>
      <c r="BA78" s="150"/>
      <c r="BB78" s="158"/>
      <c r="BC78" s="124"/>
      <c r="BD78" s="159"/>
      <c r="BE78" s="167"/>
      <c r="BF78" s="85"/>
      <c r="BG78" s="168"/>
      <c r="BH78" s="175"/>
      <c r="BI78" s="127"/>
      <c r="BJ78" s="176"/>
      <c r="BK78" s="184"/>
      <c r="BL78" s="130"/>
      <c r="BM78" s="185"/>
      <c r="BN78" s="69"/>
      <c r="BO78" s="85"/>
      <c r="BP78" s="85"/>
      <c r="BQ78" s="85"/>
      <c r="BR78" s="85"/>
      <c r="BS78" s="85"/>
      <c r="BT78" s="85"/>
      <c r="BU78" s="87"/>
      <c r="BV78" s="87"/>
      <c r="BW78" s="87"/>
      <c r="BX78" s="87"/>
      <c r="BY78" s="87"/>
      <c r="BZ78" s="87"/>
      <c r="CA78" s="90"/>
      <c r="CB78" s="90"/>
      <c r="CC78" s="90"/>
      <c r="CD78" s="90"/>
      <c r="CE78" s="90"/>
      <c r="CF78" s="90"/>
      <c r="CG78" s="85"/>
      <c r="CH78" s="85"/>
      <c r="CI78" s="85"/>
      <c r="CJ78" s="85"/>
      <c r="CK78" s="85"/>
      <c r="CL78" s="87"/>
      <c r="CM78" s="87"/>
      <c r="CN78" s="87"/>
      <c r="CO78" s="87"/>
      <c r="CP78" s="90"/>
      <c r="CQ78" s="90"/>
      <c r="CR78" s="90"/>
      <c r="CS78" s="90"/>
      <c r="CT78" s="85"/>
      <c r="CU78" s="85"/>
      <c r="CV78" s="85"/>
      <c r="CW78" s="85"/>
      <c r="CX78" s="85"/>
      <c r="CY78" s="85"/>
      <c r="CZ78" s="85"/>
      <c r="DA78" s="33">
        <f t="shared" si="0"/>
        <v>0</v>
      </c>
    </row>
    <row r="79" spans="21:105" ht="19" x14ac:dyDescent="0.25">
      <c r="AI79" s="71"/>
      <c r="AJ79" s="63"/>
      <c r="AK79" s="20"/>
      <c r="AL79" s="21"/>
      <c r="AM79" s="22"/>
      <c r="AN79" s="23"/>
      <c r="AO79" s="24"/>
      <c r="AP79" s="25"/>
      <c r="AQ79" s="26"/>
      <c r="AR79" s="27"/>
      <c r="AS79" s="192"/>
      <c r="AT79" s="111"/>
      <c r="AU79" s="193"/>
      <c r="AV79" s="140"/>
      <c r="AW79" s="118"/>
      <c r="AX79" s="141"/>
      <c r="AY79" s="149"/>
      <c r="AZ79" s="121"/>
      <c r="BA79" s="150"/>
      <c r="BB79" s="158"/>
      <c r="BC79" s="124"/>
      <c r="BD79" s="159"/>
      <c r="BE79" s="167"/>
      <c r="BF79" s="85"/>
      <c r="BG79" s="168"/>
      <c r="BH79" s="175"/>
      <c r="BI79" s="127"/>
      <c r="BJ79" s="176"/>
      <c r="BK79" s="184"/>
      <c r="BL79" s="130"/>
      <c r="BM79" s="185"/>
      <c r="BN79" s="69"/>
      <c r="BO79" s="85"/>
      <c r="BP79" s="85"/>
      <c r="BQ79" s="85"/>
      <c r="BR79" s="85"/>
      <c r="BS79" s="85"/>
      <c r="BT79" s="85"/>
      <c r="BU79" s="87"/>
      <c r="BV79" s="87"/>
      <c r="BW79" s="87"/>
      <c r="BX79" s="87"/>
      <c r="BY79" s="87"/>
      <c r="BZ79" s="87"/>
      <c r="CA79" s="90"/>
      <c r="CB79" s="90"/>
      <c r="CC79" s="90"/>
      <c r="CD79" s="90"/>
      <c r="CE79" s="90"/>
      <c r="CF79" s="90"/>
      <c r="CG79" s="85"/>
      <c r="CH79" s="85"/>
      <c r="CI79" s="85"/>
      <c r="CJ79" s="85"/>
      <c r="CK79" s="85"/>
      <c r="CL79" s="87"/>
      <c r="CM79" s="87"/>
      <c r="CN79" s="87"/>
      <c r="CO79" s="87"/>
      <c r="CP79" s="90"/>
      <c r="CQ79" s="90"/>
      <c r="CR79" s="90"/>
      <c r="CS79" s="90"/>
      <c r="CT79" s="85"/>
      <c r="CU79" s="85"/>
      <c r="CV79" s="85"/>
      <c r="CW79" s="85"/>
      <c r="CX79" s="85"/>
      <c r="CY79" s="85"/>
      <c r="CZ79" s="85"/>
      <c r="DA79" s="33">
        <f t="shared" si="0"/>
        <v>0</v>
      </c>
    </row>
    <row r="80" spans="21:105" ht="19" x14ac:dyDescent="0.25">
      <c r="AI80" s="71"/>
      <c r="AJ80" s="63"/>
      <c r="AK80" s="20"/>
      <c r="AL80" s="21"/>
      <c r="AM80" s="22"/>
      <c r="AN80" s="23"/>
      <c r="AO80" s="24"/>
      <c r="AP80" s="25"/>
      <c r="AQ80" s="26"/>
      <c r="AR80" s="27"/>
      <c r="AS80" s="192"/>
      <c r="AT80" s="111"/>
      <c r="AU80" s="193"/>
      <c r="AV80" s="140"/>
      <c r="AW80" s="118"/>
      <c r="AX80" s="141"/>
      <c r="AY80" s="149"/>
      <c r="AZ80" s="121"/>
      <c r="BA80" s="150"/>
      <c r="BB80" s="158"/>
      <c r="BC80" s="124"/>
      <c r="BD80" s="159"/>
      <c r="BE80" s="167"/>
      <c r="BF80" s="85"/>
      <c r="BG80" s="168"/>
      <c r="BH80" s="175"/>
      <c r="BI80" s="127"/>
      <c r="BJ80" s="176"/>
      <c r="BK80" s="184"/>
      <c r="BL80" s="130"/>
      <c r="BM80" s="185"/>
      <c r="BN80" s="69"/>
      <c r="BO80" s="85"/>
      <c r="BP80" s="85"/>
      <c r="BQ80" s="85"/>
      <c r="BR80" s="85"/>
      <c r="BS80" s="85"/>
      <c r="BT80" s="85"/>
      <c r="BU80" s="87"/>
      <c r="BV80" s="87"/>
      <c r="BW80" s="87"/>
      <c r="BX80" s="87"/>
      <c r="BY80" s="87"/>
      <c r="BZ80" s="87"/>
      <c r="CA80" s="90"/>
      <c r="CB80" s="90"/>
      <c r="CC80" s="90"/>
      <c r="CD80" s="90"/>
      <c r="CE80" s="90"/>
      <c r="CF80" s="90"/>
      <c r="CG80" s="85"/>
      <c r="CH80" s="85"/>
      <c r="CI80" s="85"/>
      <c r="CJ80" s="85"/>
      <c r="CK80" s="85"/>
      <c r="CL80" s="87"/>
      <c r="CM80" s="87"/>
      <c r="CN80" s="87"/>
      <c r="CO80" s="87"/>
      <c r="CP80" s="90"/>
      <c r="CQ80" s="90"/>
      <c r="CR80" s="90"/>
      <c r="CS80" s="90"/>
      <c r="CT80" s="85"/>
      <c r="CU80" s="85"/>
      <c r="CV80" s="85"/>
      <c r="CW80" s="85"/>
      <c r="CX80" s="85"/>
      <c r="CY80" s="85"/>
      <c r="CZ80" s="85"/>
      <c r="DA80" s="33">
        <f t="shared" si="0"/>
        <v>0</v>
      </c>
    </row>
    <row r="81" spans="35:105" ht="19" x14ac:dyDescent="0.25">
      <c r="AI81" s="71"/>
      <c r="AJ81" s="63"/>
      <c r="AK81" s="20"/>
      <c r="AL81" s="21"/>
      <c r="AM81" s="22"/>
      <c r="AN81" s="23"/>
      <c r="AO81" s="24"/>
      <c r="AP81" s="25"/>
      <c r="AQ81" s="26"/>
      <c r="AR81" s="27"/>
      <c r="AS81" s="192"/>
      <c r="AT81" s="111"/>
      <c r="AU81" s="193"/>
      <c r="AV81" s="140"/>
      <c r="AW81" s="118"/>
      <c r="AX81" s="141"/>
      <c r="AY81" s="149"/>
      <c r="AZ81" s="121"/>
      <c r="BA81" s="150"/>
      <c r="BB81" s="158"/>
      <c r="BC81" s="124"/>
      <c r="BD81" s="159"/>
      <c r="BE81" s="167"/>
      <c r="BF81" s="85"/>
      <c r="BG81" s="168"/>
      <c r="BH81" s="175"/>
      <c r="BI81" s="127"/>
      <c r="BJ81" s="176"/>
      <c r="BK81" s="184"/>
      <c r="BL81" s="130"/>
      <c r="BM81" s="185"/>
      <c r="BN81" s="69"/>
      <c r="BO81" s="85"/>
      <c r="BP81" s="85"/>
      <c r="BQ81" s="85"/>
      <c r="BR81" s="85"/>
      <c r="BS81" s="85"/>
      <c r="BT81" s="85"/>
      <c r="BU81" s="87"/>
      <c r="BV81" s="87"/>
      <c r="BW81" s="87"/>
      <c r="BX81" s="87"/>
      <c r="BY81" s="87"/>
      <c r="BZ81" s="87"/>
      <c r="CA81" s="90"/>
      <c r="CB81" s="90"/>
      <c r="CC81" s="90"/>
      <c r="CD81" s="90"/>
      <c r="CE81" s="90"/>
      <c r="CF81" s="90"/>
      <c r="CG81" s="85"/>
      <c r="CH81" s="85"/>
      <c r="CI81" s="85"/>
      <c r="CJ81" s="85"/>
      <c r="CK81" s="85"/>
      <c r="CL81" s="87"/>
      <c r="CM81" s="87"/>
      <c r="CN81" s="87"/>
      <c r="CO81" s="87"/>
      <c r="CP81" s="90"/>
      <c r="CQ81" s="90"/>
      <c r="CR81" s="90"/>
      <c r="CS81" s="90"/>
      <c r="CT81" s="85"/>
      <c r="CU81" s="85"/>
      <c r="CV81" s="85"/>
      <c r="CW81" s="85"/>
      <c r="CX81" s="85"/>
      <c r="CY81" s="85"/>
      <c r="CZ81" s="85"/>
      <c r="DA81" s="33">
        <f t="shared" si="0"/>
        <v>0</v>
      </c>
    </row>
    <row r="82" spans="35:105" ht="19" x14ac:dyDescent="0.25">
      <c r="AI82" s="71"/>
      <c r="AJ82" s="63"/>
      <c r="AK82" s="20"/>
      <c r="AL82" s="21"/>
      <c r="AM82" s="22"/>
      <c r="AN82" s="23"/>
      <c r="AO82" s="24"/>
      <c r="AP82" s="25"/>
      <c r="AQ82" s="26"/>
      <c r="AR82" s="27"/>
      <c r="AS82" s="192"/>
      <c r="AT82" s="111"/>
      <c r="AU82" s="193"/>
      <c r="AV82" s="140"/>
      <c r="AW82" s="118"/>
      <c r="AX82" s="141"/>
      <c r="AY82" s="149"/>
      <c r="AZ82" s="121"/>
      <c r="BA82" s="150"/>
      <c r="BB82" s="158"/>
      <c r="BC82" s="124"/>
      <c r="BD82" s="159"/>
      <c r="BE82" s="167"/>
      <c r="BF82" s="85"/>
      <c r="BG82" s="168"/>
      <c r="BH82" s="175"/>
      <c r="BI82" s="127"/>
      <c r="BJ82" s="176"/>
      <c r="BK82" s="184"/>
      <c r="BL82" s="130"/>
      <c r="BM82" s="185"/>
      <c r="BN82" s="69"/>
      <c r="BO82" s="85"/>
      <c r="BP82" s="85"/>
      <c r="BQ82" s="85"/>
      <c r="BR82" s="85"/>
      <c r="BS82" s="85"/>
      <c r="BT82" s="85"/>
      <c r="BU82" s="87"/>
      <c r="BV82" s="87"/>
      <c r="BW82" s="87"/>
      <c r="BX82" s="87"/>
      <c r="BY82" s="87"/>
      <c r="BZ82" s="87"/>
      <c r="CA82" s="90"/>
      <c r="CB82" s="90"/>
      <c r="CC82" s="90"/>
      <c r="CD82" s="90"/>
      <c r="CE82" s="90"/>
      <c r="CF82" s="90"/>
      <c r="CG82" s="85"/>
      <c r="CH82" s="85"/>
      <c r="CI82" s="85"/>
      <c r="CJ82" s="85"/>
      <c r="CK82" s="85"/>
      <c r="CL82" s="87"/>
      <c r="CM82" s="87"/>
      <c r="CN82" s="87"/>
      <c r="CO82" s="87"/>
      <c r="CP82" s="90"/>
      <c r="CQ82" s="90"/>
      <c r="CR82" s="90"/>
      <c r="CS82" s="90"/>
      <c r="CT82" s="85"/>
      <c r="CU82" s="85"/>
      <c r="CV82" s="85"/>
      <c r="CW82" s="85"/>
      <c r="CX82" s="85"/>
      <c r="CY82" s="85"/>
      <c r="CZ82" s="85"/>
      <c r="DA82" s="33">
        <f t="shared" si="0"/>
        <v>0</v>
      </c>
    </row>
    <row r="83" spans="35:105" ht="19" x14ac:dyDescent="0.25">
      <c r="AI83" s="71"/>
      <c r="AJ83" s="63"/>
      <c r="AK83" s="20"/>
      <c r="AL83" s="21"/>
      <c r="AM83" s="22"/>
      <c r="AN83" s="23"/>
      <c r="AO83" s="24"/>
      <c r="AP83" s="25"/>
      <c r="AQ83" s="26"/>
      <c r="AR83" s="27"/>
      <c r="AS83" s="192"/>
      <c r="AT83" s="111"/>
      <c r="AU83" s="193"/>
      <c r="AV83" s="140"/>
      <c r="AW83" s="118"/>
      <c r="AX83" s="141"/>
      <c r="AY83" s="149"/>
      <c r="AZ83" s="121"/>
      <c r="BA83" s="150"/>
      <c r="BB83" s="158"/>
      <c r="BC83" s="124"/>
      <c r="BD83" s="159"/>
      <c r="BE83" s="167"/>
      <c r="BF83" s="85"/>
      <c r="BG83" s="168"/>
      <c r="BH83" s="175"/>
      <c r="BI83" s="127"/>
      <c r="BJ83" s="176"/>
      <c r="BK83" s="184"/>
      <c r="BL83" s="130"/>
      <c r="BM83" s="185"/>
      <c r="BN83" s="69"/>
      <c r="BO83" s="85"/>
      <c r="BP83" s="85"/>
      <c r="BQ83" s="85"/>
      <c r="BR83" s="85"/>
      <c r="BS83" s="85"/>
      <c r="BT83" s="85"/>
      <c r="BU83" s="87"/>
      <c r="BV83" s="87"/>
      <c r="BW83" s="87"/>
      <c r="BX83" s="87"/>
      <c r="BY83" s="87"/>
      <c r="BZ83" s="87"/>
      <c r="CA83" s="90"/>
      <c r="CB83" s="90"/>
      <c r="CC83" s="90"/>
      <c r="CD83" s="90"/>
      <c r="CE83" s="90"/>
      <c r="CF83" s="90"/>
      <c r="CG83" s="85"/>
      <c r="CH83" s="85"/>
      <c r="CI83" s="85"/>
      <c r="CJ83" s="85"/>
      <c r="CK83" s="85"/>
      <c r="CL83" s="87"/>
      <c r="CM83" s="87"/>
      <c r="CN83" s="87"/>
      <c r="CO83" s="87"/>
      <c r="CP83" s="90"/>
      <c r="CQ83" s="90"/>
      <c r="CR83" s="90"/>
      <c r="CS83" s="90"/>
      <c r="CT83" s="85"/>
      <c r="CU83" s="85"/>
      <c r="CV83" s="85"/>
      <c r="CW83" s="85"/>
      <c r="CX83" s="85"/>
      <c r="CY83" s="85"/>
      <c r="CZ83" s="85"/>
      <c r="DA83" s="33">
        <f t="shared" si="0"/>
        <v>0</v>
      </c>
    </row>
    <row r="84" spans="35:105" ht="19" x14ac:dyDescent="0.25">
      <c r="AI84" s="71"/>
      <c r="AJ84" s="63"/>
      <c r="AK84" s="20"/>
      <c r="AL84" s="21"/>
      <c r="AM84" s="22"/>
      <c r="AN84" s="23"/>
      <c r="AO84" s="24"/>
      <c r="AP84" s="25"/>
      <c r="AQ84" s="26"/>
      <c r="AR84" s="27"/>
      <c r="AS84" s="192"/>
      <c r="AT84" s="111"/>
      <c r="AU84" s="193"/>
      <c r="AV84" s="140"/>
      <c r="AW84" s="118"/>
      <c r="AX84" s="141"/>
      <c r="AY84" s="149"/>
      <c r="AZ84" s="121"/>
      <c r="BA84" s="150"/>
      <c r="BB84" s="158"/>
      <c r="BC84" s="124"/>
      <c r="BD84" s="159"/>
      <c r="BE84" s="167"/>
      <c r="BF84" s="85"/>
      <c r="BG84" s="168"/>
      <c r="BH84" s="175"/>
      <c r="BI84" s="127"/>
      <c r="BJ84" s="176"/>
      <c r="BK84" s="184"/>
      <c r="BL84" s="130"/>
      <c r="BM84" s="185"/>
      <c r="BN84" s="69"/>
      <c r="BO84" s="85"/>
      <c r="BP84" s="85"/>
      <c r="BQ84" s="85"/>
      <c r="BR84" s="85"/>
      <c r="BS84" s="85"/>
      <c r="BT84" s="85"/>
      <c r="BU84" s="87"/>
      <c r="BV84" s="87"/>
      <c r="BW84" s="87"/>
      <c r="BX84" s="87"/>
      <c r="BY84" s="87"/>
      <c r="BZ84" s="87"/>
      <c r="CA84" s="90"/>
      <c r="CB84" s="90"/>
      <c r="CC84" s="90"/>
      <c r="CD84" s="90"/>
      <c r="CE84" s="90"/>
      <c r="CF84" s="90"/>
      <c r="CG84" s="85"/>
      <c r="CH84" s="85"/>
      <c r="CI84" s="85"/>
      <c r="CJ84" s="85"/>
      <c r="CK84" s="85"/>
      <c r="CL84" s="87"/>
      <c r="CM84" s="87"/>
      <c r="CN84" s="87"/>
      <c r="CO84" s="87"/>
      <c r="CP84" s="90"/>
      <c r="CQ84" s="90"/>
      <c r="CR84" s="90"/>
      <c r="CS84" s="90"/>
      <c r="CT84" s="85"/>
      <c r="CU84" s="85"/>
      <c r="CV84" s="85"/>
      <c r="CW84" s="85"/>
      <c r="CX84" s="85"/>
      <c r="CY84" s="85"/>
      <c r="CZ84" s="85"/>
      <c r="DA84" s="33">
        <f t="shared" si="0"/>
        <v>0</v>
      </c>
    </row>
    <row r="85" spans="35:105" ht="19" x14ac:dyDescent="0.25">
      <c r="AI85" s="71"/>
      <c r="AJ85" s="63"/>
      <c r="AK85" s="20"/>
      <c r="AL85" s="21"/>
      <c r="AM85" s="22"/>
      <c r="AN85" s="23"/>
      <c r="AO85" s="24"/>
      <c r="AP85" s="25"/>
      <c r="AQ85" s="26"/>
      <c r="AR85" s="27"/>
      <c r="AS85" s="192"/>
      <c r="AT85" s="111"/>
      <c r="AU85" s="193"/>
      <c r="AV85" s="140"/>
      <c r="AW85" s="118"/>
      <c r="AX85" s="141"/>
      <c r="AY85" s="149"/>
      <c r="AZ85" s="121"/>
      <c r="BA85" s="150"/>
      <c r="BB85" s="158"/>
      <c r="BC85" s="124"/>
      <c r="BD85" s="159"/>
      <c r="BE85" s="167"/>
      <c r="BF85" s="85"/>
      <c r="BG85" s="168"/>
      <c r="BH85" s="175"/>
      <c r="BI85" s="127"/>
      <c r="BJ85" s="176"/>
      <c r="BK85" s="184"/>
      <c r="BL85" s="130"/>
      <c r="BM85" s="185"/>
      <c r="BN85" s="69"/>
      <c r="BO85" s="85"/>
      <c r="BP85" s="85"/>
      <c r="BQ85" s="85"/>
      <c r="BR85" s="85"/>
      <c r="BS85" s="85"/>
      <c r="BT85" s="85"/>
      <c r="BU85" s="87"/>
      <c r="BV85" s="87"/>
      <c r="BW85" s="87"/>
      <c r="BX85" s="87"/>
      <c r="BY85" s="87"/>
      <c r="BZ85" s="87"/>
      <c r="CA85" s="90"/>
      <c r="CB85" s="90"/>
      <c r="CC85" s="90"/>
      <c r="CD85" s="90"/>
      <c r="CE85" s="90"/>
      <c r="CF85" s="90"/>
      <c r="CG85" s="85"/>
      <c r="CH85" s="85"/>
      <c r="CI85" s="85"/>
      <c r="CJ85" s="85"/>
      <c r="CK85" s="85"/>
      <c r="CL85" s="87"/>
      <c r="CM85" s="87"/>
      <c r="CN85" s="87"/>
      <c r="CO85" s="87"/>
      <c r="CP85" s="90"/>
      <c r="CQ85" s="90"/>
      <c r="CR85" s="90"/>
      <c r="CS85" s="90"/>
      <c r="CT85" s="85"/>
      <c r="CU85" s="85"/>
      <c r="CV85" s="85"/>
      <c r="CW85" s="85"/>
      <c r="CX85" s="85"/>
      <c r="CY85" s="85"/>
      <c r="CZ85" s="85"/>
      <c r="DA85" s="33">
        <f t="shared" si="0"/>
        <v>0</v>
      </c>
    </row>
    <row r="86" spans="35:105" ht="19" x14ac:dyDescent="0.25">
      <c r="AI86" s="71"/>
      <c r="AJ86" s="63"/>
      <c r="AK86" s="20"/>
      <c r="AL86" s="21"/>
      <c r="AM86" s="22"/>
      <c r="AN86" s="23"/>
      <c r="AO86" s="24"/>
      <c r="AP86" s="25"/>
      <c r="AQ86" s="26"/>
      <c r="AR86" s="27"/>
      <c r="AS86" s="192"/>
      <c r="AT86" s="111"/>
      <c r="AU86" s="193"/>
      <c r="AV86" s="140"/>
      <c r="AW86" s="118"/>
      <c r="AX86" s="141"/>
      <c r="AY86" s="149"/>
      <c r="AZ86" s="121"/>
      <c r="BA86" s="150"/>
      <c r="BB86" s="158"/>
      <c r="BC86" s="124"/>
      <c r="BD86" s="159"/>
      <c r="BE86" s="167"/>
      <c r="BF86" s="85"/>
      <c r="BG86" s="168"/>
      <c r="BH86" s="175"/>
      <c r="BI86" s="127"/>
      <c r="BJ86" s="176"/>
      <c r="BK86" s="184"/>
      <c r="BL86" s="130"/>
      <c r="BM86" s="185"/>
      <c r="BN86" s="69"/>
      <c r="BO86" s="85"/>
      <c r="BP86" s="85"/>
      <c r="BQ86" s="85"/>
      <c r="BR86" s="85"/>
      <c r="BS86" s="85"/>
      <c r="BT86" s="85"/>
      <c r="BU86" s="87"/>
      <c r="BV86" s="87"/>
      <c r="BW86" s="87"/>
      <c r="BX86" s="87"/>
      <c r="BY86" s="87"/>
      <c r="BZ86" s="87"/>
      <c r="CA86" s="90"/>
      <c r="CB86" s="90"/>
      <c r="CC86" s="90"/>
      <c r="CD86" s="90"/>
      <c r="CE86" s="90"/>
      <c r="CF86" s="90"/>
      <c r="CG86" s="85"/>
      <c r="CH86" s="85"/>
      <c r="CI86" s="85"/>
      <c r="CJ86" s="85"/>
      <c r="CK86" s="85"/>
      <c r="CL86" s="87"/>
      <c r="CM86" s="87"/>
      <c r="CN86" s="87"/>
      <c r="CO86" s="87"/>
      <c r="CP86" s="90"/>
      <c r="CQ86" s="90"/>
      <c r="CR86" s="90"/>
      <c r="CS86" s="90"/>
      <c r="CT86" s="85"/>
      <c r="CU86" s="85"/>
      <c r="CV86" s="85"/>
      <c r="CW86" s="85"/>
      <c r="CX86" s="85"/>
      <c r="CY86" s="85"/>
      <c r="CZ86" s="85"/>
      <c r="DA86" s="33">
        <f t="shared" si="0"/>
        <v>0</v>
      </c>
    </row>
    <row r="87" spans="35:105" ht="19" x14ac:dyDescent="0.25">
      <c r="AI87" s="71"/>
      <c r="AJ87" s="63"/>
      <c r="AK87" s="20"/>
      <c r="AL87" s="21"/>
      <c r="AM87" s="22"/>
      <c r="AN87" s="23"/>
      <c r="AO87" s="24"/>
      <c r="AP87" s="25"/>
      <c r="AQ87" s="26"/>
      <c r="AR87" s="27"/>
      <c r="AS87" s="192"/>
      <c r="AT87" s="111"/>
      <c r="AU87" s="193"/>
      <c r="AV87" s="140"/>
      <c r="AW87" s="118"/>
      <c r="AX87" s="141"/>
      <c r="AY87" s="149"/>
      <c r="AZ87" s="121"/>
      <c r="BA87" s="150"/>
      <c r="BB87" s="158"/>
      <c r="BC87" s="124"/>
      <c r="BD87" s="159"/>
      <c r="BE87" s="167"/>
      <c r="BF87" s="85"/>
      <c r="BG87" s="168"/>
      <c r="BH87" s="175"/>
      <c r="BI87" s="127"/>
      <c r="BJ87" s="176"/>
      <c r="BK87" s="184"/>
      <c r="BL87" s="130"/>
      <c r="BM87" s="185"/>
      <c r="BN87" s="69"/>
      <c r="BO87" s="85"/>
      <c r="BP87" s="85"/>
      <c r="BQ87" s="85"/>
      <c r="BR87" s="85"/>
      <c r="BS87" s="85"/>
      <c r="BT87" s="85"/>
      <c r="BU87" s="87"/>
      <c r="BV87" s="87"/>
      <c r="BW87" s="87"/>
      <c r="BX87" s="87"/>
      <c r="BY87" s="87"/>
      <c r="BZ87" s="87"/>
      <c r="CA87" s="90"/>
      <c r="CB87" s="90"/>
      <c r="CC87" s="90"/>
      <c r="CD87" s="90"/>
      <c r="CE87" s="90"/>
      <c r="CF87" s="90"/>
      <c r="CG87" s="85"/>
      <c r="CH87" s="85"/>
      <c r="CI87" s="85"/>
      <c r="CJ87" s="85"/>
      <c r="CK87" s="85"/>
      <c r="CL87" s="87"/>
      <c r="CM87" s="87"/>
      <c r="CN87" s="87"/>
      <c r="CO87" s="87"/>
      <c r="CP87" s="90"/>
      <c r="CQ87" s="90"/>
      <c r="CR87" s="90"/>
      <c r="CS87" s="90"/>
      <c r="CT87" s="85"/>
      <c r="CU87" s="85"/>
      <c r="CV87" s="85"/>
      <c r="CW87" s="85"/>
      <c r="CX87" s="85"/>
      <c r="CY87" s="85"/>
      <c r="CZ87" s="85"/>
      <c r="DA87" s="33">
        <f t="shared" si="0"/>
        <v>0</v>
      </c>
    </row>
    <row r="88" spans="35:105" ht="19" x14ac:dyDescent="0.25">
      <c r="AI88" s="71"/>
      <c r="AJ88" s="63"/>
      <c r="AK88" s="20"/>
      <c r="AL88" s="21"/>
      <c r="AM88" s="22"/>
      <c r="AN88" s="23"/>
      <c r="AO88" s="24"/>
      <c r="AP88" s="25"/>
      <c r="AQ88" s="26"/>
      <c r="AR88" s="27"/>
      <c r="AS88" s="192"/>
      <c r="AT88" s="111"/>
      <c r="AU88" s="193"/>
      <c r="AV88" s="140"/>
      <c r="AW88" s="118"/>
      <c r="AX88" s="141"/>
      <c r="AY88" s="149"/>
      <c r="AZ88" s="121"/>
      <c r="BA88" s="150"/>
      <c r="BB88" s="158"/>
      <c r="BC88" s="124"/>
      <c r="BD88" s="159"/>
      <c r="BE88" s="167"/>
      <c r="BF88" s="85"/>
      <c r="BG88" s="168"/>
      <c r="BH88" s="175"/>
      <c r="BI88" s="127"/>
      <c r="BJ88" s="176"/>
      <c r="BK88" s="184"/>
      <c r="BL88" s="130"/>
      <c r="BM88" s="185"/>
      <c r="BN88" s="69"/>
      <c r="BO88" s="85"/>
      <c r="BP88" s="85"/>
      <c r="BQ88" s="85"/>
      <c r="BR88" s="85"/>
      <c r="BS88" s="85"/>
      <c r="BT88" s="85"/>
      <c r="BU88" s="87"/>
      <c r="BV88" s="87"/>
      <c r="BW88" s="87"/>
      <c r="BX88" s="87"/>
      <c r="BY88" s="87"/>
      <c r="BZ88" s="87"/>
      <c r="CA88" s="90"/>
      <c r="CB88" s="90"/>
      <c r="CC88" s="90"/>
      <c r="CD88" s="90"/>
      <c r="CE88" s="90"/>
      <c r="CF88" s="90"/>
      <c r="CG88" s="85"/>
      <c r="CH88" s="85"/>
      <c r="CI88" s="85"/>
      <c r="CJ88" s="85"/>
      <c r="CK88" s="85"/>
      <c r="CL88" s="87"/>
      <c r="CM88" s="87"/>
      <c r="CN88" s="87"/>
      <c r="CO88" s="87"/>
      <c r="CP88" s="90"/>
      <c r="CQ88" s="90"/>
      <c r="CR88" s="90"/>
      <c r="CS88" s="90"/>
      <c r="CT88" s="85"/>
      <c r="CU88" s="85"/>
      <c r="CV88" s="85"/>
      <c r="CW88" s="85"/>
      <c r="CX88" s="85"/>
      <c r="CY88" s="85"/>
      <c r="CZ88" s="85"/>
      <c r="DA88" s="33">
        <f t="shared" si="0"/>
        <v>0</v>
      </c>
    </row>
    <row r="89" spans="35:105" ht="19" x14ac:dyDescent="0.25">
      <c r="AI89" s="71"/>
      <c r="AJ89" s="63"/>
      <c r="AK89" s="20"/>
      <c r="AL89" s="21"/>
      <c r="AM89" s="22"/>
      <c r="AN89" s="23"/>
      <c r="AO89" s="24"/>
      <c r="AP89" s="25"/>
      <c r="AQ89" s="26"/>
      <c r="AR89" s="27"/>
      <c r="AS89" s="192"/>
      <c r="AT89" s="111"/>
      <c r="AU89" s="193"/>
      <c r="AV89" s="140"/>
      <c r="AW89" s="118"/>
      <c r="AX89" s="141"/>
      <c r="AY89" s="149"/>
      <c r="AZ89" s="121"/>
      <c r="BA89" s="150"/>
      <c r="BB89" s="158"/>
      <c r="BC89" s="124"/>
      <c r="BD89" s="159"/>
      <c r="BE89" s="167"/>
      <c r="BF89" s="85"/>
      <c r="BG89" s="168"/>
      <c r="BH89" s="175"/>
      <c r="BI89" s="127"/>
      <c r="BJ89" s="176"/>
      <c r="BK89" s="184"/>
      <c r="BL89" s="130"/>
      <c r="BM89" s="185"/>
      <c r="BN89" s="69"/>
      <c r="BO89" s="85"/>
      <c r="BP89" s="85"/>
      <c r="BQ89" s="85"/>
      <c r="BR89" s="85"/>
      <c r="BS89" s="85"/>
      <c r="BT89" s="85"/>
      <c r="BU89" s="87"/>
      <c r="BV89" s="87"/>
      <c r="BW89" s="87"/>
      <c r="BX89" s="87"/>
      <c r="BY89" s="87"/>
      <c r="BZ89" s="87"/>
      <c r="CA89" s="90"/>
      <c r="CB89" s="90"/>
      <c r="CC89" s="90"/>
      <c r="CD89" s="90"/>
      <c r="CE89" s="90"/>
      <c r="CF89" s="90"/>
      <c r="CG89" s="85"/>
      <c r="CH89" s="85"/>
      <c r="CI89" s="85"/>
      <c r="CJ89" s="85"/>
      <c r="CK89" s="85"/>
      <c r="CL89" s="87"/>
      <c r="CM89" s="87"/>
      <c r="CN89" s="87"/>
      <c r="CO89" s="87"/>
      <c r="CP89" s="90"/>
      <c r="CQ89" s="90"/>
      <c r="CR89" s="90"/>
      <c r="CS89" s="90"/>
      <c r="CT89" s="85"/>
      <c r="CU89" s="85"/>
      <c r="CV89" s="85"/>
      <c r="CW89" s="85"/>
      <c r="CX89" s="85"/>
      <c r="CY89" s="85"/>
      <c r="CZ89" s="85"/>
      <c r="DA89" s="33">
        <f t="shared" si="0"/>
        <v>0</v>
      </c>
    </row>
    <row r="90" spans="35:105" ht="19" x14ac:dyDescent="0.25">
      <c r="AI90" s="71"/>
      <c r="AJ90" s="63"/>
      <c r="AK90" s="20"/>
      <c r="AL90" s="21"/>
      <c r="AM90" s="22"/>
      <c r="AN90" s="23"/>
      <c r="AO90" s="24"/>
      <c r="AP90" s="25"/>
      <c r="AQ90" s="26"/>
      <c r="AR90" s="27"/>
      <c r="AS90" s="192"/>
      <c r="AT90" s="111"/>
      <c r="AU90" s="193"/>
      <c r="AV90" s="140"/>
      <c r="AW90" s="118"/>
      <c r="AX90" s="141"/>
      <c r="AY90" s="149"/>
      <c r="AZ90" s="121"/>
      <c r="BA90" s="150"/>
      <c r="BB90" s="158"/>
      <c r="BC90" s="124"/>
      <c r="BD90" s="159"/>
      <c r="BE90" s="167"/>
      <c r="BF90" s="85"/>
      <c r="BG90" s="168"/>
      <c r="BH90" s="175"/>
      <c r="BI90" s="127"/>
      <c r="BJ90" s="176"/>
      <c r="BK90" s="184"/>
      <c r="BL90" s="130"/>
      <c r="BM90" s="185"/>
      <c r="BN90" s="69"/>
      <c r="BO90" s="85"/>
      <c r="BP90" s="85"/>
      <c r="BQ90" s="85"/>
      <c r="BR90" s="85"/>
      <c r="BS90" s="85"/>
      <c r="BT90" s="85"/>
      <c r="BU90" s="87"/>
      <c r="BV90" s="87"/>
      <c r="BW90" s="87"/>
      <c r="BX90" s="87"/>
      <c r="BY90" s="87"/>
      <c r="BZ90" s="87"/>
      <c r="CA90" s="90"/>
      <c r="CB90" s="90"/>
      <c r="CC90" s="90"/>
      <c r="CD90" s="90"/>
      <c r="CE90" s="90"/>
      <c r="CF90" s="90"/>
      <c r="CG90" s="85"/>
      <c r="CH90" s="85"/>
      <c r="CI90" s="85"/>
      <c r="CJ90" s="85"/>
      <c r="CK90" s="85"/>
      <c r="CL90" s="87"/>
      <c r="CM90" s="87"/>
      <c r="CN90" s="87"/>
      <c r="CO90" s="87"/>
      <c r="CP90" s="90"/>
      <c r="CQ90" s="90"/>
      <c r="CR90" s="90"/>
      <c r="CS90" s="90"/>
      <c r="CT90" s="85"/>
      <c r="CU90" s="85"/>
      <c r="CV90" s="85"/>
      <c r="CW90" s="85"/>
      <c r="CX90" s="85"/>
      <c r="CY90" s="85"/>
      <c r="CZ90" s="85"/>
      <c r="DA90" s="33">
        <f t="shared" si="0"/>
        <v>0</v>
      </c>
    </row>
    <row r="91" spans="35:105" ht="19" x14ac:dyDescent="0.25">
      <c r="AI91" s="71"/>
      <c r="AJ91" s="63"/>
      <c r="AK91" s="20"/>
      <c r="AL91" s="21"/>
      <c r="AM91" s="22"/>
      <c r="AN91" s="23"/>
      <c r="AO91" s="24"/>
      <c r="AP91" s="25"/>
      <c r="AQ91" s="26"/>
      <c r="AR91" s="27"/>
      <c r="AS91" s="192"/>
      <c r="AT91" s="111"/>
      <c r="AU91" s="193"/>
      <c r="AV91" s="140"/>
      <c r="AW91" s="118"/>
      <c r="AX91" s="141"/>
      <c r="AY91" s="149"/>
      <c r="AZ91" s="121"/>
      <c r="BA91" s="150"/>
      <c r="BB91" s="158"/>
      <c r="BC91" s="124"/>
      <c r="BD91" s="159"/>
      <c r="BE91" s="167"/>
      <c r="BF91" s="85"/>
      <c r="BG91" s="168"/>
      <c r="BH91" s="175"/>
      <c r="BI91" s="127"/>
      <c r="BJ91" s="176"/>
      <c r="BK91" s="184"/>
      <c r="BL91" s="130"/>
      <c r="BM91" s="185"/>
      <c r="BN91" s="69"/>
      <c r="BO91" s="85"/>
      <c r="BP91" s="85"/>
      <c r="BQ91" s="85"/>
      <c r="BR91" s="85"/>
      <c r="BS91" s="85"/>
      <c r="BT91" s="85"/>
      <c r="BU91" s="87"/>
      <c r="BV91" s="87"/>
      <c r="BW91" s="87"/>
      <c r="BX91" s="87"/>
      <c r="BY91" s="87"/>
      <c r="BZ91" s="87"/>
      <c r="CA91" s="90"/>
      <c r="CB91" s="90"/>
      <c r="CC91" s="90"/>
      <c r="CD91" s="90"/>
      <c r="CE91" s="90"/>
      <c r="CF91" s="90"/>
      <c r="CG91" s="85"/>
      <c r="CH91" s="85"/>
      <c r="CI91" s="85"/>
      <c r="CJ91" s="85"/>
      <c r="CK91" s="85"/>
      <c r="CL91" s="87"/>
      <c r="CM91" s="87"/>
      <c r="CN91" s="87"/>
      <c r="CO91" s="87"/>
      <c r="CP91" s="90"/>
      <c r="CQ91" s="90"/>
      <c r="CR91" s="90"/>
      <c r="CS91" s="90"/>
      <c r="CT91" s="85"/>
      <c r="CU91" s="85"/>
      <c r="CV91" s="85"/>
      <c r="CW91" s="85"/>
      <c r="CX91" s="85"/>
      <c r="CY91" s="85"/>
      <c r="CZ91" s="85"/>
      <c r="DA91" s="33">
        <f t="shared" si="0"/>
        <v>0</v>
      </c>
    </row>
    <row r="92" spans="35:105" ht="19" x14ac:dyDescent="0.25">
      <c r="AI92" s="71"/>
      <c r="AJ92" s="63"/>
      <c r="AK92" s="20"/>
      <c r="AL92" s="21"/>
      <c r="AM92" s="22"/>
      <c r="AN92" s="23"/>
      <c r="AO92" s="24"/>
      <c r="AP92" s="25"/>
      <c r="AQ92" s="26"/>
      <c r="AR92" s="27"/>
      <c r="AS92" s="192"/>
      <c r="AT92" s="111"/>
      <c r="AU92" s="193"/>
      <c r="AV92" s="140"/>
      <c r="AW92" s="118"/>
      <c r="AX92" s="141"/>
      <c r="AY92" s="149"/>
      <c r="AZ92" s="121"/>
      <c r="BA92" s="150"/>
      <c r="BB92" s="158"/>
      <c r="BC92" s="124"/>
      <c r="BD92" s="159"/>
      <c r="BE92" s="167"/>
      <c r="BF92" s="85"/>
      <c r="BG92" s="168"/>
      <c r="BH92" s="175"/>
      <c r="BI92" s="127"/>
      <c r="BJ92" s="176"/>
      <c r="BK92" s="184"/>
      <c r="BL92" s="130"/>
      <c r="BM92" s="185"/>
      <c r="BN92" s="69"/>
      <c r="BO92" s="85"/>
      <c r="BP92" s="85"/>
      <c r="BQ92" s="85"/>
      <c r="BR92" s="85"/>
      <c r="BS92" s="85"/>
      <c r="BT92" s="85"/>
      <c r="BU92" s="87"/>
      <c r="BV92" s="87"/>
      <c r="BW92" s="87"/>
      <c r="BX92" s="87"/>
      <c r="BY92" s="87"/>
      <c r="BZ92" s="87"/>
      <c r="CA92" s="90"/>
      <c r="CB92" s="90"/>
      <c r="CC92" s="90"/>
      <c r="CD92" s="90"/>
      <c r="CE92" s="90"/>
      <c r="CF92" s="90"/>
      <c r="CG92" s="85"/>
      <c r="CH92" s="85"/>
      <c r="CI92" s="85"/>
      <c r="CJ92" s="85"/>
      <c r="CK92" s="85"/>
      <c r="CL92" s="87"/>
      <c r="CM92" s="87"/>
      <c r="CN92" s="87"/>
      <c r="CO92" s="87"/>
      <c r="CP92" s="90"/>
      <c r="CQ92" s="90"/>
      <c r="CR92" s="90"/>
      <c r="CS92" s="90"/>
      <c r="CT92" s="85"/>
      <c r="CU92" s="85"/>
      <c r="CV92" s="85"/>
      <c r="CW92" s="85"/>
      <c r="CX92" s="85"/>
      <c r="CY92" s="85"/>
      <c r="CZ92" s="85"/>
      <c r="DA92" s="33">
        <f t="shared" si="0"/>
        <v>0</v>
      </c>
    </row>
    <row r="93" spans="35:105" ht="19" x14ac:dyDescent="0.25">
      <c r="AI93" s="71"/>
      <c r="AJ93" s="63"/>
      <c r="AK93" s="20"/>
      <c r="AL93" s="21"/>
      <c r="AM93" s="22"/>
      <c r="AN93" s="23"/>
      <c r="AO93" s="24"/>
      <c r="AP93" s="25"/>
      <c r="AQ93" s="26"/>
      <c r="AR93" s="27"/>
      <c r="AS93" s="192"/>
      <c r="AT93" s="111"/>
      <c r="AU93" s="193"/>
      <c r="AV93" s="140"/>
      <c r="AW93" s="118"/>
      <c r="AX93" s="141"/>
      <c r="AY93" s="149"/>
      <c r="AZ93" s="121"/>
      <c r="BA93" s="150"/>
      <c r="BB93" s="158"/>
      <c r="BC93" s="124"/>
      <c r="BD93" s="159"/>
      <c r="BE93" s="167"/>
      <c r="BF93" s="85"/>
      <c r="BG93" s="168"/>
      <c r="BH93" s="175"/>
      <c r="BI93" s="127"/>
      <c r="BJ93" s="176"/>
      <c r="BK93" s="184"/>
      <c r="BL93" s="130"/>
      <c r="BM93" s="185"/>
      <c r="BN93" s="69"/>
      <c r="BO93" s="85"/>
      <c r="BP93" s="85"/>
      <c r="BQ93" s="85"/>
      <c r="BR93" s="85"/>
      <c r="BS93" s="85"/>
      <c r="BT93" s="85"/>
      <c r="BU93" s="87"/>
      <c r="BV93" s="87"/>
      <c r="BW93" s="87"/>
      <c r="BX93" s="87"/>
      <c r="BY93" s="87"/>
      <c r="BZ93" s="87"/>
      <c r="CA93" s="90"/>
      <c r="CB93" s="90"/>
      <c r="CC93" s="90"/>
      <c r="CD93" s="90"/>
      <c r="CE93" s="90"/>
      <c r="CF93" s="90"/>
      <c r="CG93" s="85"/>
      <c r="CH93" s="85"/>
      <c r="CI93" s="85"/>
      <c r="CJ93" s="85"/>
      <c r="CK93" s="85"/>
      <c r="CL93" s="87"/>
      <c r="CM93" s="87"/>
      <c r="CN93" s="87"/>
      <c r="CO93" s="87"/>
      <c r="CP93" s="90"/>
      <c r="CQ93" s="90"/>
      <c r="CR93" s="90"/>
      <c r="CS93" s="90"/>
      <c r="CT93" s="85"/>
      <c r="CU93" s="85"/>
      <c r="CV93" s="85"/>
      <c r="CW93" s="85"/>
      <c r="CX93" s="85"/>
      <c r="CY93" s="85"/>
      <c r="CZ93" s="85"/>
      <c r="DA93" s="33">
        <f t="shared" si="0"/>
        <v>0</v>
      </c>
    </row>
    <row r="94" spans="35:105" ht="19" x14ac:dyDescent="0.25">
      <c r="AI94" s="71"/>
      <c r="AJ94" s="63"/>
      <c r="AK94" s="20"/>
      <c r="AL94" s="21"/>
      <c r="AM94" s="22"/>
      <c r="AN94" s="23"/>
      <c r="AO94" s="24"/>
      <c r="AP94" s="25"/>
      <c r="AQ94" s="26"/>
      <c r="AR94" s="27"/>
      <c r="AS94" s="192"/>
      <c r="AT94" s="111"/>
      <c r="AU94" s="193"/>
      <c r="AV94" s="140"/>
      <c r="AW94" s="118"/>
      <c r="AX94" s="141"/>
      <c r="AY94" s="149"/>
      <c r="AZ94" s="121"/>
      <c r="BA94" s="150"/>
      <c r="BB94" s="158"/>
      <c r="BC94" s="124"/>
      <c r="BD94" s="159"/>
      <c r="BE94" s="167"/>
      <c r="BF94" s="85"/>
      <c r="BG94" s="168"/>
      <c r="BH94" s="175"/>
      <c r="BI94" s="127"/>
      <c r="BJ94" s="176"/>
      <c r="BK94" s="184"/>
      <c r="BL94" s="130"/>
      <c r="BM94" s="185"/>
      <c r="BN94" s="69"/>
      <c r="BO94" s="85"/>
      <c r="BP94" s="85"/>
      <c r="BQ94" s="85"/>
      <c r="BR94" s="85"/>
      <c r="BS94" s="85"/>
      <c r="BT94" s="85"/>
      <c r="BU94" s="87"/>
      <c r="BV94" s="87"/>
      <c r="BW94" s="87"/>
      <c r="BX94" s="87"/>
      <c r="BY94" s="87"/>
      <c r="BZ94" s="87"/>
      <c r="CA94" s="90"/>
      <c r="CB94" s="90"/>
      <c r="CC94" s="90"/>
      <c r="CD94" s="90"/>
      <c r="CE94" s="90"/>
      <c r="CF94" s="90"/>
      <c r="CG94" s="85"/>
      <c r="CH94" s="85"/>
      <c r="CI94" s="85"/>
      <c r="CJ94" s="85"/>
      <c r="CK94" s="85"/>
      <c r="CL94" s="87"/>
      <c r="CM94" s="87"/>
      <c r="CN94" s="87"/>
      <c r="CO94" s="87"/>
      <c r="CP94" s="90"/>
      <c r="CQ94" s="90"/>
      <c r="CR94" s="90"/>
      <c r="CS94" s="90"/>
      <c r="CT94" s="85"/>
      <c r="CU94" s="85"/>
      <c r="CV94" s="85"/>
      <c r="CW94" s="85"/>
      <c r="CX94" s="85"/>
      <c r="CY94" s="85"/>
      <c r="CZ94" s="85"/>
      <c r="DA94" s="33">
        <f t="shared" si="0"/>
        <v>0</v>
      </c>
    </row>
    <row r="95" spans="35:105" ht="19" x14ac:dyDescent="0.25">
      <c r="AI95" s="71"/>
      <c r="AJ95" s="63"/>
      <c r="AK95" s="20"/>
      <c r="AL95" s="21"/>
      <c r="AM95" s="22"/>
      <c r="AN95" s="23"/>
      <c r="AO95" s="24"/>
      <c r="AP95" s="25"/>
      <c r="AQ95" s="26"/>
      <c r="AR95" s="27"/>
      <c r="AS95" s="192"/>
      <c r="AT95" s="111"/>
      <c r="AU95" s="193"/>
      <c r="AV95" s="140"/>
      <c r="AW95" s="118"/>
      <c r="AX95" s="141"/>
      <c r="AY95" s="149"/>
      <c r="AZ95" s="121"/>
      <c r="BA95" s="150"/>
      <c r="BB95" s="158"/>
      <c r="BC95" s="124"/>
      <c r="BD95" s="159"/>
      <c r="BE95" s="167"/>
      <c r="BF95" s="85"/>
      <c r="BG95" s="168"/>
      <c r="BH95" s="175"/>
      <c r="BI95" s="127"/>
      <c r="BJ95" s="176"/>
      <c r="BK95" s="184"/>
      <c r="BL95" s="130"/>
      <c r="BM95" s="185"/>
      <c r="BN95" s="69"/>
      <c r="BO95" s="85"/>
      <c r="BP95" s="85"/>
      <c r="BQ95" s="85"/>
      <c r="BR95" s="85"/>
      <c r="BS95" s="85"/>
      <c r="BT95" s="85"/>
      <c r="BU95" s="87"/>
      <c r="BV95" s="87"/>
      <c r="BW95" s="87"/>
      <c r="BX95" s="87"/>
      <c r="BY95" s="87"/>
      <c r="BZ95" s="87"/>
      <c r="CA95" s="90"/>
      <c r="CB95" s="90"/>
      <c r="CC95" s="90"/>
      <c r="CD95" s="90"/>
      <c r="CE95" s="90"/>
      <c r="CF95" s="90"/>
      <c r="CG95" s="85"/>
      <c r="CH95" s="85"/>
      <c r="CI95" s="85"/>
      <c r="CJ95" s="85"/>
      <c r="CK95" s="85"/>
      <c r="CL95" s="87"/>
      <c r="CM95" s="87"/>
      <c r="CN95" s="87"/>
      <c r="CO95" s="87"/>
      <c r="CP95" s="90"/>
      <c r="CQ95" s="90"/>
      <c r="CR95" s="90"/>
      <c r="CS95" s="90"/>
      <c r="CT95" s="85"/>
      <c r="CU95" s="85"/>
      <c r="CV95" s="85"/>
      <c r="CW95" s="85"/>
      <c r="CX95" s="85"/>
      <c r="CY95" s="85"/>
      <c r="CZ95" s="85"/>
      <c r="DA95" s="33">
        <f t="shared" si="0"/>
        <v>0</v>
      </c>
    </row>
    <row r="96" spans="35:105" ht="19" x14ac:dyDescent="0.25">
      <c r="AI96" s="71"/>
      <c r="AJ96" s="63"/>
      <c r="AK96" s="20"/>
      <c r="AL96" s="21"/>
      <c r="AM96" s="22"/>
      <c r="AN96" s="23"/>
      <c r="AO96" s="24"/>
      <c r="AP96" s="25"/>
      <c r="AQ96" s="26"/>
      <c r="AR96" s="27"/>
      <c r="AS96" s="192"/>
      <c r="AT96" s="111"/>
      <c r="AU96" s="193"/>
      <c r="AV96" s="140"/>
      <c r="AW96" s="118"/>
      <c r="AX96" s="141"/>
      <c r="AY96" s="149"/>
      <c r="AZ96" s="121"/>
      <c r="BA96" s="150"/>
      <c r="BB96" s="158"/>
      <c r="BC96" s="124"/>
      <c r="BD96" s="159"/>
      <c r="BE96" s="167"/>
      <c r="BF96" s="85"/>
      <c r="BG96" s="168"/>
      <c r="BH96" s="175"/>
      <c r="BI96" s="127"/>
      <c r="BJ96" s="176"/>
      <c r="BK96" s="184"/>
      <c r="BL96" s="130"/>
      <c r="BM96" s="185"/>
      <c r="BN96" s="69"/>
      <c r="BO96" s="85"/>
      <c r="BP96" s="85"/>
      <c r="BQ96" s="85"/>
      <c r="BR96" s="85"/>
      <c r="BS96" s="85"/>
      <c r="BT96" s="85"/>
      <c r="BU96" s="87"/>
      <c r="BV96" s="87"/>
      <c r="BW96" s="87"/>
      <c r="BX96" s="87"/>
      <c r="BY96" s="87"/>
      <c r="BZ96" s="87"/>
      <c r="CA96" s="90"/>
      <c r="CB96" s="90"/>
      <c r="CC96" s="90"/>
      <c r="CD96" s="90"/>
      <c r="CE96" s="90"/>
      <c r="CF96" s="90"/>
      <c r="CG96" s="85"/>
      <c r="CH96" s="85"/>
      <c r="CI96" s="85"/>
      <c r="CJ96" s="85"/>
      <c r="CK96" s="85"/>
      <c r="CL96" s="87"/>
      <c r="CM96" s="87"/>
      <c r="CN96" s="87"/>
      <c r="CO96" s="87"/>
      <c r="CP96" s="90"/>
      <c r="CQ96" s="90"/>
      <c r="CR96" s="90"/>
      <c r="CS96" s="90"/>
      <c r="CT96" s="85"/>
      <c r="CU96" s="85"/>
      <c r="CV96" s="85"/>
      <c r="CW96" s="85"/>
      <c r="CX96" s="85"/>
      <c r="CY96" s="85"/>
      <c r="CZ96" s="85"/>
      <c r="DA96" s="33">
        <f t="shared" si="0"/>
        <v>0</v>
      </c>
    </row>
    <row r="97" spans="35:105" ht="19" x14ac:dyDescent="0.25">
      <c r="AI97" s="71"/>
      <c r="AJ97" s="63"/>
      <c r="AK97" s="20"/>
      <c r="AL97" s="21"/>
      <c r="AM97" s="22"/>
      <c r="AN97" s="23"/>
      <c r="AO97" s="24"/>
      <c r="AP97" s="25"/>
      <c r="AQ97" s="26"/>
      <c r="AR97" s="27"/>
      <c r="AS97" s="192"/>
      <c r="AT97" s="111"/>
      <c r="AU97" s="193"/>
      <c r="AV97" s="140"/>
      <c r="AW97" s="118"/>
      <c r="AX97" s="141"/>
      <c r="AY97" s="149"/>
      <c r="AZ97" s="121"/>
      <c r="BA97" s="150"/>
      <c r="BB97" s="158"/>
      <c r="BC97" s="124"/>
      <c r="BD97" s="159"/>
      <c r="BE97" s="167"/>
      <c r="BF97" s="85"/>
      <c r="BG97" s="168"/>
      <c r="BH97" s="175"/>
      <c r="BI97" s="127"/>
      <c r="BJ97" s="176"/>
      <c r="BK97" s="184"/>
      <c r="BL97" s="130"/>
      <c r="BM97" s="185"/>
      <c r="BN97" s="69"/>
      <c r="BO97" s="85"/>
      <c r="BP97" s="85"/>
      <c r="BQ97" s="85"/>
      <c r="BR97" s="85"/>
      <c r="BS97" s="85"/>
      <c r="BT97" s="85"/>
      <c r="BU97" s="87"/>
      <c r="BV97" s="87"/>
      <c r="BW97" s="87"/>
      <c r="BX97" s="87"/>
      <c r="BY97" s="87"/>
      <c r="BZ97" s="87"/>
      <c r="CA97" s="90"/>
      <c r="CB97" s="90"/>
      <c r="CC97" s="90"/>
      <c r="CD97" s="90"/>
      <c r="CE97" s="90"/>
      <c r="CF97" s="90"/>
      <c r="CG97" s="85"/>
      <c r="CH97" s="85"/>
      <c r="CI97" s="85"/>
      <c r="CJ97" s="85"/>
      <c r="CK97" s="85"/>
      <c r="CL97" s="87"/>
      <c r="CM97" s="87"/>
      <c r="CN97" s="87"/>
      <c r="CO97" s="87"/>
      <c r="CP97" s="90"/>
      <c r="CQ97" s="90"/>
      <c r="CR97" s="90"/>
      <c r="CS97" s="90"/>
      <c r="CT97" s="85"/>
      <c r="CU97" s="85"/>
      <c r="CV97" s="85"/>
      <c r="CW97" s="85"/>
      <c r="CX97" s="85"/>
      <c r="CY97" s="85"/>
      <c r="CZ97" s="85"/>
      <c r="DA97" s="33">
        <f t="shared" si="0"/>
        <v>0</v>
      </c>
    </row>
    <row r="98" spans="35:105" ht="19" x14ac:dyDescent="0.25">
      <c r="AI98" s="71"/>
      <c r="AJ98" s="63"/>
      <c r="AK98" s="20"/>
      <c r="AL98" s="21"/>
      <c r="AM98" s="22"/>
      <c r="AN98" s="23"/>
      <c r="AO98" s="24"/>
      <c r="AP98" s="25"/>
      <c r="AQ98" s="26"/>
      <c r="AR98" s="27"/>
      <c r="AS98" s="192"/>
      <c r="AT98" s="111"/>
      <c r="AU98" s="193"/>
      <c r="AV98" s="140"/>
      <c r="AW98" s="118"/>
      <c r="AX98" s="141"/>
      <c r="AY98" s="149"/>
      <c r="AZ98" s="121"/>
      <c r="BA98" s="150"/>
      <c r="BB98" s="158"/>
      <c r="BC98" s="124"/>
      <c r="BD98" s="159"/>
      <c r="BE98" s="167"/>
      <c r="BF98" s="85"/>
      <c r="BG98" s="168"/>
      <c r="BH98" s="175"/>
      <c r="BI98" s="127"/>
      <c r="BJ98" s="176"/>
      <c r="BK98" s="184"/>
      <c r="BL98" s="130"/>
      <c r="BM98" s="185"/>
      <c r="BN98" s="69"/>
      <c r="BO98" s="85"/>
      <c r="BP98" s="85"/>
      <c r="BQ98" s="85"/>
      <c r="BR98" s="85"/>
      <c r="BS98" s="85"/>
      <c r="BT98" s="85"/>
      <c r="BU98" s="87"/>
      <c r="BV98" s="87"/>
      <c r="BW98" s="87"/>
      <c r="BX98" s="87"/>
      <c r="BY98" s="87"/>
      <c r="BZ98" s="87"/>
      <c r="CA98" s="90"/>
      <c r="CB98" s="90"/>
      <c r="CC98" s="90"/>
      <c r="CD98" s="90"/>
      <c r="CE98" s="90"/>
      <c r="CF98" s="90"/>
      <c r="CG98" s="85"/>
      <c r="CH98" s="85"/>
      <c r="CI98" s="85"/>
      <c r="CJ98" s="85"/>
      <c r="CK98" s="85"/>
      <c r="CL98" s="87"/>
      <c r="CM98" s="87"/>
      <c r="CN98" s="87"/>
      <c r="CO98" s="87"/>
      <c r="CP98" s="90"/>
      <c r="CQ98" s="90"/>
      <c r="CR98" s="90"/>
      <c r="CS98" s="90"/>
      <c r="CT98" s="85"/>
      <c r="CU98" s="85"/>
      <c r="CV98" s="85"/>
      <c r="CW98" s="85"/>
      <c r="CX98" s="85"/>
      <c r="CY98" s="85"/>
      <c r="CZ98" s="85"/>
      <c r="DA98" s="33">
        <f t="shared" si="0"/>
        <v>0</v>
      </c>
    </row>
    <row r="99" spans="35:105" ht="19" x14ac:dyDescent="0.25">
      <c r="AI99" s="71"/>
      <c r="AJ99" s="63"/>
      <c r="AK99" s="20"/>
      <c r="AL99" s="21"/>
      <c r="AM99" s="22"/>
      <c r="AN99" s="23"/>
      <c r="AO99" s="24"/>
      <c r="AP99" s="25"/>
      <c r="AQ99" s="26"/>
      <c r="AR99" s="27"/>
      <c r="AS99" s="192"/>
      <c r="AT99" s="111"/>
      <c r="AU99" s="193"/>
      <c r="AV99" s="140"/>
      <c r="AW99" s="118"/>
      <c r="AX99" s="141"/>
      <c r="AY99" s="149"/>
      <c r="AZ99" s="121"/>
      <c r="BA99" s="150"/>
      <c r="BB99" s="158"/>
      <c r="BC99" s="124"/>
      <c r="BD99" s="159"/>
      <c r="BE99" s="167"/>
      <c r="BF99" s="85"/>
      <c r="BG99" s="168"/>
      <c r="BH99" s="175"/>
      <c r="BI99" s="127"/>
      <c r="BJ99" s="176"/>
      <c r="BK99" s="184"/>
      <c r="BL99" s="130"/>
      <c r="BM99" s="185"/>
      <c r="BN99" s="69"/>
      <c r="BO99" s="85"/>
      <c r="BP99" s="85"/>
      <c r="BQ99" s="85"/>
      <c r="BR99" s="85"/>
      <c r="BS99" s="85"/>
      <c r="BT99" s="85"/>
      <c r="BU99" s="87"/>
      <c r="BV99" s="87"/>
      <c r="BW99" s="87"/>
      <c r="BX99" s="87"/>
      <c r="BY99" s="87"/>
      <c r="BZ99" s="87"/>
      <c r="CA99" s="90"/>
      <c r="CB99" s="90"/>
      <c r="CC99" s="90"/>
      <c r="CD99" s="90"/>
      <c r="CE99" s="90"/>
      <c r="CF99" s="90"/>
      <c r="CG99" s="85"/>
      <c r="CH99" s="85"/>
      <c r="CI99" s="85"/>
      <c r="CJ99" s="85"/>
      <c r="CK99" s="85"/>
      <c r="CL99" s="87"/>
      <c r="CM99" s="87"/>
      <c r="CN99" s="87"/>
      <c r="CO99" s="87"/>
      <c r="CP99" s="90"/>
      <c r="CQ99" s="90"/>
      <c r="CR99" s="90"/>
      <c r="CS99" s="90"/>
      <c r="CT99" s="85"/>
      <c r="CU99" s="85"/>
      <c r="CV99" s="85"/>
      <c r="CW99" s="85"/>
      <c r="CX99" s="85"/>
      <c r="CY99" s="85"/>
      <c r="CZ99" s="85"/>
      <c r="DA99" s="33">
        <f t="shared" si="0"/>
        <v>0</v>
      </c>
    </row>
    <row r="100" spans="35:105" ht="19" x14ac:dyDescent="0.25">
      <c r="AI100" s="71"/>
      <c r="AJ100" s="63"/>
      <c r="AK100" s="20"/>
      <c r="AL100" s="21"/>
      <c r="AM100" s="22"/>
      <c r="AN100" s="23"/>
      <c r="AO100" s="24"/>
      <c r="AP100" s="25"/>
      <c r="AQ100" s="26"/>
      <c r="AR100" s="27"/>
      <c r="AS100" s="192"/>
      <c r="AT100" s="111"/>
      <c r="AU100" s="193"/>
      <c r="AV100" s="140"/>
      <c r="AW100" s="118"/>
      <c r="AX100" s="141"/>
      <c r="AY100" s="149"/>
      <c r="AZ100" s="121"/>
      <c r="BA100" s="150"/>
      <c r="BB100" s="158"/>
      <c r="BC100" s="124"/>
      <c r="BD100" s="159"/>
      <c r="BE100" s="167"/>
      <c r="BF100" s="85"/>
      <c r="BG100" s="168"/>
      <c r="BH100" s="175"/>
      <c r="BI100" s="127"/>
      <c r="BJ100" s="176"/>
      <c r="BK100" s="184"/>
      <c r="BL100" s="130"/>
      <c r="BM100" s="185"/>
      <c r="BN100" s="69"/>
      <c r="BO100" s="85"/>
      <c r="BP100" s="85"/>
      <c r="BQ100" s="85"/>
      <c r="BR100" s="85"/>
      <c r="BS100" s="85"/>
      <c r="BT100" s="85"/>
      <c r="BU100" s="87"/>
      <c r="BV100" s="87"/>
      <c r="BW100" s="87"/>
      <c r="BX100" s="87"/>
      <c r="BY100" s="87"/>
      <c r="BZ100" s="87"/>
      <c r="CA100" s="90"/>
      <c r="CB100" s="90"/>
      <c r="CC100" s="90"/>
      <c r="CD100" s="90"/>
      <c r="CE100" s="90"/>
      <c r="CF100" s="90"/>
      <c r="CG100" s="85"/>
      <c r="CH100" s="85"/>
      <c r="CI100" s="85"/>
      <c r="CJ100" s="85"/>
      <c r="CK100" s="85"/>
      <c r="CL100" s="87"/>
      <c r="CM100" s="87"/>
      <c r="CN100" s="87"/>
      <c r="CO100" s="87"/>
      <c r="CP100" s="90"/>
      <c r="CQ100" s="90"/>
      <c r="CR100" s="90"/>
      <c r="CS100" s="90"/>
      <c r="CT100" s="85"/>
      <c r="CU100" s="85"/>
      <c r="CV100" s="85"/>
      <c r="CW100" s="85"/>
      <c r="CX100" s="85"/>
      <c r="CY100" s="85"/>
      <c r="CZ100" s="85"/>
      <c r="DA100" s="33">
        <f t="shared" si="0"/>
        <v>0</v>
      </c>
    </row>
    <row r="101" spans="35:105" ht="19" x14ac:dyDescent="0.25">
      <c r="AI101" s="71"/>
      <c r="AJ101" s="63"/>
      <c r="AK101" s="20"/>
      <c r="AL101" s="21"/>
      <c r="AM101" s="22"/>
      <c r="AN101" s="23"/>
      <c r="AO101" s="24"/>
      <c r="AP101" s="25"/>
      <c r="AQ101" s="26"/>
      <c r="AR101" s="27"/>
      <c r="AS101" s="192"/>
      <c r="AT101" s="111"/>
      <c r="AU101" s="193"/>
      <c r="AV101" s="140"/>
      <c r="AW101" s="118"/>
      <c r="AX101" s="141"/>
      <c r="AY101" s="149"/>
      <c r="AZ101" s="121"/>
      <c r="BA101" s="150"/>
      <c r="BB101" s="158"/>
      <c r="BC101" s="124"/>
      <c r="BD101" s="159"/>
      <c r="BE101" s="167"/>
      <c r="BF101" s="85"/>
      <c r="BG101" s="168"/>
      <c r="BH101" s="175"/>
      <c r="BI101" s="127"/>
      <c r="BJ101" s="176"/>
      <c r="BK101" s="184"/>
      <c r="BL101" s="130"/>
      <c r="BM101" s="185"/>
      <c r="BN101" s="69"/>
      <c r="BO101" s="85"/>
      <c r="BP101" s="85"/>
      <c r="BQ101" s="85"/>
      <c r="BR101" s="85"/>
      <c r="BS101" s="85"/>
      <c r="BT101" s="85"/>
      <c r="BU101" s="87"/>
      <c r="BV101" s="87"/>
      <c r="BW101" s="87"/>
      <c r="BX101" s="87"/>
      <c r="BY101" s="87"/>
      <c r="BZ101" s="87"/>
      <c r="CA101" s="90"/>
      <c r="CB101" s="90"/>
      <c r="CC101" s="90"/>
      <c r="CD101" s="90"/>
      <c r="CE101" s="90"/>
      <c r="CF101" s="90"/>
      <c r="CG101" s="85"/>
      <c r="CH101" s="85"/>
      <c r="CI101" s="85"/>
      <c r="CJ101" s="85"/>
      <c r="CK101" s="85"/>
      <c r="CL101" s="87"/>
      <c r="CM101" s="87"/>
      <c r="CN101" s="87"/>
      <c r="CO101" s="87"/>
      <c r="CP101" s="90"/>
      <c r="CQ101" s="90"/>
      <c r="CR101" s="90"/>
      <c r="CS101" s="90"/>
      <c r="CT101" s="85"/>
      <c r="CU101" s="85"/>
      <c r="CV101" s="85"/>
      <c r="CW101" s="85"/>
      <c r="CX101" s="85"/>
      <c r="CY101" s="85"/>
      <c r="CZ101" s="85"/>
      <c r="DA101" s="33">
        <f t="shared" si="0"/>
        <v>0</v>
      </c>
    </row>
    <row r="102" spans="35:105" ht="19" x14ac:dyDescent="0.25">
      <c r="AI102" s="71"/>
      <c r="AJ102" s="63"/>
      <c r="AK102" s="20"/>
      <c r="AL102" s="21"/>
      <c r="AM102" s="22"/>
      <c r="AN102" s="23"/>
      <c r="AO102" s="24"/>
      <c r="AP102" s="25"/>
      <c r="AQ102" s="26"/>
      <c r="AR102" s="27"/>
      <c r="AS102" s="192"/>
      <c r="AT102" s="111"/>
      <c r="AU102" s="193"/>
      <c r="AV102" s="140"/>
      <c r="AW102" s="118"/>
      <c r="AX102" s="141"/>
      <c r="AY102" s="149"/>
      <c r="AZ102" s="121"/>
      <c r="BA102" s="150"/>
      <c r="BB102" s="158"/>
      <c r="BC102" s="124"/>
      <c r="BD102" s="159"/>
      <c r="BE102" s="167"/>
      <c r="BF102" s="85"/>
      <c r="BG102" s="168"/>
      <c r="BH102" s="175"/>
      <c r="BI102" s="127"/>
      <c r="BJ102" s="176"/>
      <c r="BK102" s="184"/>
      <c r="BL102" s="130"/>
      <c r="BM102" s="185"/>
      <c r="BN102" s="69"/>
      <c r="BO102" s="85"/>
      <c r="BP102" s="85"/>
      <c r="BQ102" s="85"/>
      <c r="BR102" s="85"/>
      <c r="BS102" s="85"/>
      <c r="BT102" s="85"/>
      <c r="BU102" s="87"/>
      <c r="BV102" s="87"/>
      <c r="BW102" s="87"/>
      <c r="BX102" s="87"/>
      <c r="BY102" s="87"/>
      <c r="BZ102" s="87"/>
      <c r="CA102" s="90"/>
      <c r="CB102" s="90"/>
      <c r="CC102" s="90"/>
      <c r="CD102" s="90"/>
      <c r="CE102" s="90"/>
      <c r="CF102" s="90"/>
      <c r="CG102" s="85"/>
      <c r="CH102" s="85"/>
      <c r="CI102" s="85"/>
      <c r="CJ102" s="85"/>
      <c r="CK102" s="85"/>
      <c r="CL102" s="87"/>
      <c r="CM102" s="87"/>
      <c r="CN102" s="87"/>
      <c r="CO102" s="87"/>
      <c r="CP102" s="90"/>
      <c r="CQ102" s="90"/>
      <c r="CR102" s="90"/>
      <c r="CS102" s="90"/>
      <c r="CT102" s="85"/>
      <c r="CU102" s="85"/>
      <c r="CV102" s="85"/>
      <c r="CW102" s="85"/>
      <c r="CX102" s="85"/>
      <c r="CY102" s="85"/>
      <c r="CZ102" s="85"/>
      <c r="DA102" s="33">
        <f t="shared" ref="DA102:DA165" si="1">D102</f>
        <v>0</v>
      </c>
    </row>
    <row r="103" spans="35:105" ht="19" x14ac:dyDescent="0.25">
      <c r="AI103" s="71"/>
      <c r="AJ103" s="63"/>
      <c r="AK103" s="20"/>
      <c r="AL103" s="21"/>
      <c r="AM103" s="22"/>
      <c r="AN103" s="23"/>
      <c r="AO103" s="24"/>
      <c r="AP103" s="25"/>
      <c r="AQ103" s="26"/>
      <c r="AR103" s="27"/>
      <c r="AS103" s="192"/>
      <c r="AT103" s="111"/>
      <c r="AU103" s="193"/>
      <c r="AV103" s="140"/>
      <c r="AW103" s="118"/>
      <c r="AX103" s="141"/>
      <c r="AY103" s="149"/>
      <c r="AZ103" s="121"/>
      <c r="BA103" s="150"/>
      <c r="BB103" s="158"/>
      <c r="BC103" s="124"/>
      <c r="BD103" s="159"/>
      <c r="BE103" s="167"/>
      <c r="BF103" s="85"/>
      <c r="BG103" s="168"/>
      <c r="BH103" s="175"/>
      <c r="BI103" s="127"/>
      <c r="BJ103" s="176"/>
      <c r="BK103" s="184"/>
      <c r="BL103" s="130"/>
      <c r="BM103" s="185"/>
      <c r="BN103" s="69"/>
      <c r="BO103" s="85"/>
      <c r="BP103" s="85"/>
      <c r="BQ103" s="85"/>
      <c r="BR103" s="85"/>
      <c r="BS103" s="85"/>
      <c r="BT103" s="85"/>
      <c r="BU103" s="87"/>
      <c r="BV103" s="87"/>
      <c r="BW103" s="87"/>
      <c r="BX103" s="87"/>
      <c r="BY103" s="87"/>
      <c r="BZ103" s="87"/>
      <c r="CA103" s="90"/>
      <c r="CB103" s="90"/>
      <c r="CC103" s="90"/>
      <c r="CD103" s="90"/>
      <c r="CE103" s="90"/>
      <c r="CF103" s="90"/>
      <c r="CG103" s="85"/>
      <c r="CH103" s="85"/>
      <c r="CI103" s="85"/>
      <c r="CJ103" s="85"/>
      <c r="CK103" s="85"/>
      <c r="CL103" s="87"/>
      <c r="CM103" s="87"/>
      <c r="CN103" s="87"/>
      <c r="CO103" s="87"/>
      <c r="CP103" s="90"/>
      <c r="CQ103" s="90"/>
      <c r="CR103" s="90"/>
      <c r="CS103" s="90"/>
      <c r="CT103" s="85"/>
      <c r="CU103" s="85"/>
      <c r="CV103" s="85"/>
      <c r="CW103" s="85"/>
      <c r="CX103" s="85"/>
      <c r="CY103" s="85"/>
      <c r="CZ103" s="85"/>
      <c r="DA103" s="33">
        <f t="shared" si="1"/>
        <v>0</v>
      </c>
    </row>
    <row r="104" spans="35:105" ht="19" x14ac:dyDescent="0.25">
      <c r="AI104" s="71"/>
      <c r="AJ104" s="63"/>
      <c r="AK104" s="20"/>
      <c r="AL104" s="21"/>
      <c r="AM104" s="22"/>
      <c r="AN104" s="23"/>
      <c r="AO104" s="24"/>
      <c r="AP104" s="25"/>
      <c r="AQ104" s="26"/>
      <c r="AR104" s="27"/>
      <c r="AS104" s="192"/>
      <c r="AT104" s="111"/>
      <c r="AU104" s="193"/>
      <c r="AV104" s="140"/>
      <c r="AW104" s="118"/>
      <c r="AX104" s="141"/>
      <c r="AY104" s="149"/>
      <c r="AZ104" s="121"/>
      <c r="BA104" s="150"/>
      <c r="BB104" s="158"/>
      <c r="BC104" s="124"/>
      <c r="BD104" s="159"/>
      <c r="BE104" s="167"/>
      <c r="BF104" s="85"/>
      <c r="BG104" s="168"/>
      <c r="BH104" s="175"/>
      <c r="BI104" s="127"/>
      <c r="BJ104" s="176"/>
      <c r="BK104" s="184"/>
      <c r="BL104" s="130"/>
      <c r="BM104" s="185"/>
      <c r="BN104" s="69"/>
      <c r="BO104" s="85"/>
      <c r="BP104" s="85"/>
      <c r="BQ104" s="85"/>
      <c r="BR104" s="85"/>
      <c r="BS104" s="85"/>
      <c r="BT104" s="85"/>
      <c r="BU104" s="87"/>
      <c r="BV104" s="87"/>
      <c r="BW104" s="87"/>
      <c r="BX104" s="87"/>
      <c r="BY104" s="87"/>
      <c r="BZ104" s="87"/>
      <c r="CA104" s="90"/>
      <c r="CB104" s="90"/>
      <c r="CC104" s="90"/>
      <c r="CD104" s="90"/>
      <c r="CE104" s="90"/>
      <c r="CF104" s="90"/>
      <c r="CG104" s="85"/>
      <c r="CH104" s="85"/>
      <c r="CI104" s="85"/>
      <c r="CJ104" s="85"/>
      <c r="CK104" s="85"/>
      <c r="CL104" s="87"/>
      <c r="CM104" s="87"/>
      <c r="CN104" s="87"/>
      <c r="CO104" s="87"/>
      <c r="CP104" s="90"/>
      <c r="CQ104" s="90"/>
      <c r="CR104" s="90"/>
      <c r="CS104" s="90"/>
      <c r="CT104" s="85"/>
      <c r="CU104" s="85"/>
      <c r="CV104" s="85"/>
      <c r="CW104" s="85"/>
      <c r="CX104" s="85"/>
      <c r="CY104" s="85"/>
      <c r="CZ104" s="85"/>
      <c r="DA104" s="33">
        <f t="shared" si="1"/>
        <v>0</v>
      </c>
    </row>
    <row r="105" spans="35:105" ht="19" x14ac:dyDescent="0.25">
      <c r="AI105" s="71"/>
      <c r="AJ105" s="63"/>
      <c r="AK105" s="20"/>
      <c r="AL105" s="21"/>
      <c r="AM105" s="22"/>
      <c r="AN105" s="23"/>
      <c r="AO105" s="24"/>
      <c r="AP105" s="25"/>
      <c r="AQ105" s="26"/>
      <c r="AR105" s="27"/>
      <c r="AS105" s="192"/>
      <c r="AT105" s="111"/>
      <c r="AU105" s="193"/>
      <c r="AV105" s="140"/>
      <c r="AW105" s="118"/>
      <c r="AX105" s="141"/>
      <c r="AY105" s="149"/>
      <c r="AZ105" s="121"/>
      <c r="BA105" s="150"/>
      <c r="BB105" s="158"/>
      <c r="BC105" s="124"/>
      <c r="BD105" s="159"/>
      <c r="BE105" s="167"/>
      <c r="BF105" s="85"/>
      <c r="BG105" s="168"/>
      <c r="BH105" s="175"/>
      <c r="BI105" s="127"/>
      <c r="BJ105" s="176"/>
      <c r="BK105" s="184"/>
      <c r="BL105" s="130"/>
      <c r="BM105" s="185"/>
      <c r="BN105" s="69"/>
      <c r="BO105" s="85"/>
      <c r="BP105" s="85"/>
      <c r="BQ105" s="85"/>
      <c r="BR105" s="85"/>
      <c r="BS105" s="85"/>
      <c r="BT105" s="85"/>
      <c r="BU105" s="87"/>
      <c r="BV105" s="87"/>
      <c r="BW105" s="87"/>
      <c r="BX105" s="87"/>
      <c r="BY105" s="87"/>
      <c r="BZ105" s="87"/>
      <c r="CA105" s="90"/>
      <c r="CB105" s="90"/>
      <c r="CC105" s="90"/>
      <c r="CD105" s="90"/>
      <c r="CE105" s="90"/>
      <c r="CF105" s="90"/>
      <c r="CG105" s="85"/>
      <c r="CH105" s="85"/>
      <c r="CI105" s="85"/>
      <c r="CJ105" s="85"/>
      <c r="CK105" s="85"/>
      <c r="CL105" s="87"/>
      <c r="CM105" s="87"/>
      <c r="CN105" s="87"/>
      <c r="CO105" s="87"/>
      <c r="CP105" s="90"/>
      <c r="CQ105" s="90"/>
      <c r="CR105" s="90"/>
      <c r="CS105" s="90"/>
      <c r="CT105" s="85"/>
      <c r="CU105" s="85"/>
      <c r="CV105" s="85"/>
      <c r="CW105" s="85"/>
      <c r="CX105" s="85"/>
      <c r="CY105" s="85"/>
      <c r="CZ105" s="85"/>
      <c r="DA105" s="33">
        <f t="shared" si="1"/>
        <v>0</v>
      </c>
    </row>
    <row r="106" spans="35:105" ht="19" x14ac:dyDescent="0.25">
      <c r="AI106" s="71"/>
      <c r="AJ106" s="63"/>
      <c r="AK106" s="20"/>
      <c r="AL106" s="21"/>
      <c r="AM106" s="22"/>
      <c r="AN106" s="23"/>
      <c r="AO106" s="24"/>
      <c r="AP106" s="25"/>
      <c r="AQ106" s="26"/>
      <c r="AR106" s="27"/>
      <c r="AS106" s="192"/>
      <c r="AT106" s="111"/>
      <c r="AU106" s="193"/>
      <c r="AV106" s="140"/>
      <c r="AW106" s="118"/>
      <c r="AX106" s="141"/>
      <c r="AY106" s="149"/>
      <c r="AZ106" s="121"/>
      <c r="BA106" s="150"/>
      <c r="BB106" s="158"/>
      <c r="BC106" s="124"/>
      <c r="BD106" s="159"/>
      <c r="BE106" s="167"/>
      <c r="BF106" s="85"/>
      <c r="BG106" s="168"/>
      <c r="BH106" s="175"/>
      <c r="BI106" s="127"/>
      <c r="BJ106" s="176"/>
      <c r="BK106" s="184"/>
      <c r="BL106" s="130"/>
      <c r="BM106" s="185"/>
      <c r="BN106" s="69"/>
      <c r="BO106" s="85"/>
      <c r="BP106" s="85"/>
      <c r="BQ106" s="85"/>
      <c r="BR106" s="85"/>
      <c r="BS106" s="85"/>
      <c r="BT106" s="85"/>
      <c r="BU106" s="87"/>
      <c r="BV106" s="87"/>
      <c r="BW106" s="87"/>
      <c r="BX106" s="87"/>
      <c r="BY106" s="87"/>
      <c r="BZ106" s="87"/>
      <c r="CA106" s="90"/>
      <c r="CB106" s="90"/>
      <c r="CC106" s="90"/>
      <c r="CD106" s="90"/>
      <c r="CE106" s="90"/>
      <c r="CF106" s="90"/>
      <c r="CG106" s="85"/>
      <c r="CH106" s="85"/>
      <c r="CI106" s="85"/>
      <c r="CJ106" s="85"/>
      <c r="CK106" s="85"/>
      <c r="CL106" s="87"/>
      <c r="CM106" s="87"/>
      <c r="CN106" s="87"/>
      <c r="CO106" s="87"/>
      <c r="CP106" s="90"/>
      <c r="CQ106" s="90"/>
      <c r="CR106" s="90"/>
      <c r="CS106" s="90"/>
      <c r="CT106" s="85"/>
      <c r="CU106" s="85"/>
      <c r="CV106" s="85"/>
      <c r="CW106" s="85"/>
      <c r="CX106" s="85"/>
      <c r="CY106" s="85"/>
      <c r="CZ106" s="85"/>
      <c r="DA106" s="33">
        <f t="shared" si="1"/>
        <v>0</v>
      </c>
    </row>
    <row r="107" spans="35:105" ht="19" x14ac:dyDescent="0.25">
      <c r="AI107" s="71"/>
      <c r="AJ107" s="63"/>
      <c r="AK107" s="20"/>
      <c r="AL107" s="21"/>
      <c r="AM107" s="22"/>
      <c r="AN107" s="23"/>
      <c r="AO107" s="24"/>
      <c r="AP107" s="25"/>
      <c r="AQ107" s="26"/>
      <c r="AR107" s="27"/>
      <c r="AS107" s="192"/>
      <c r="AT107" s="111"/>
      <c r="AU107" s="193"/>
      <c r="AV107" s="140"/>
      <c r="AW107" s="118"/>
      <c r="AX107" s="141"/>
      <c r="AY107" s="149"/>
      <c r="AZ107" s="121"/>
      <c r="BA107" s="150"/>
      <c r="BB107" s="158"/>
      <c r="BC107" s="124"/>
      <c r="BD107" s="159"/>
      <c r="BE107" s="167"/>
      <c r="BF107" s="85"/>
      <c r="BG107" s="168"/>
      <c r="BH107" s="175"/>
      <c r="BI107" s="127"/>
      <c r="BJ107" s="176"/>
      <c r="BK107" s="184"/>
      <c r="BL107" s="130"/>
      <c r="BM107" s="185"/>
      <c r="BN107" s="69"/>
      <c r="BO107" s="85"/>
      <c r="BP107" s="85"/>
      <c r="BQ107" s="85"/>
      <c r="BR107" s="85"/>
      <c r="BS107" s="85"/>
      <c r="BT107" s="85"/>
      <c r="BU107" s="87"/>
      <c r="BV107" s="87"/>
      <c r="BW107" s="87"/>
      <c r="BX107" s="87"/>
      <c r="BY107" s="87"/>
      <c r="BZ107" s="87"/>
      <c r="CA107" s="90"/>
      <c r="CB107" s="90"/>
      <c r="CC107" s="90"/>
      <c r="CD107" s="90"/>
      <c r="CE107" s="90"/>
      <c r="CF107" s="90"/>
      <c r="CG107" s="85"/>
      <c r="CH107" s="85"/>
      <c r="CI107" s="85"/>
      <c r="CJ107" s="85"/>
      <c r="CK107" s="85"/>
      <c r="CL107" s="87"/>
      <c r="CM107" s="87"/>
      <c r="CN107" s="87"/>
      <c r="CO107" s="87"/>
      <c r="CP107" s="90"/>
      <c r="CQ107" s="90"/>
      <c r="CR107" s="90"/>
      <c r="CS107" s="90"/>
      <c r="CT107" s="85"/>
      <c r="CU107" s="85"/>
      <c r="CV107" s="85"/>
      <c r="CW107" s="85"/>
      <c r="CX107" s="85"/>
      <c r="CY107" s="85"/>
      <c r="CZ107" s="85"/>
      <c r="DA107" s="33">
        <f t="shared" si="1"/>
        <v>0</v>
      </c>
    </row>
    <row r="108" spans="35:105" ht="19" x14ac:dyDescent="0.25">
      <c r="AI108" s="71"/>
      <c r="AJ108" s="63"/>
      <c r="AK108" s="20"/>
      <c r="AL108" s="21"/>
      <c r="AM108" s="22"/>
      <c r="AN108" s="23"/>
      <c r="AO108" s="24"/>
      <c r="AP108" s="25"/>
      <c r="AQ108" s="26"/>
      <c r="AR108" s="27"/>
      <c r="AS108" s="192"/>
      <c r="AT108" s="111"/>
      <c r="AU108" s="193"/>
      <c r="AV108" s="140"/>
      <c r="AW108" s="118"/>
      <c r="AX108" s="141"/>
      <c r="AY108" s="149"/>
      <c r="AZ108" s="121"/>
      <c r="BA108" s="150"/>
      <c r="BB108" s="158"/>
      <c r="BC108" s="124"/>
      <c r="BD108" s="159"/>
      <c r="BE108" s="167"/>
      <c r="BF108" s="85"/>
      <c r="BG108" s="168"/>
      <c r="BH108" s="175"/>
      <c r="BI108" s="127"/>
      <c r="BJ108" s="176"/>
      <c r="BK108" s="184"/>
      <c r="BL108" s="130"/>
      <c r="BM108" s="185"/>
      <c r="BN108" s="69"/>
      <c r="BO108" s="85"/>
      <c r="BP108" s="85"/>
      <c r="BQ108" s="85"/>
      <c r="BR108" s="85"/>
      <c r="BS108" s="85"/>
      <c r="BT108" s="85"/>
      <c r="BU108" s="87"/>
      <c r="BV108" s="87"/>
      <c r="BW108" s="87"/>
      <c r="BX108" s="87"/>
      <c r="BY108" s="87"/>
      <c r="BZ108" s="87"/>
      <c r="CA108" s="90"/>
      <c r="CB108" s="90"/>
      <c r="CC108" s="90"/>
      <c r="CD108" s="90"/>
      <c r="CE108" s="90"/>
      <c r="CF108" s="90"/>
      <c r="CG108" s="85"/>
      <c r="CH108" s="85"/>
      <c r="CI108" s="85"/>
      <c r="CJ108" s="85"/>
      <c r="CK108" s="85"/>
      <c r="CL108" s="87"/>
      <c r="CM108" s="87"/>
      <c r="CN108" s="87"/>
      <c r="CO108" s="87"/>
      <c r="CP108" s="90"/>
      <c r="CQ108" s="90"/>
      <c r="CR108" s="90"/>
      <c r="CS108" s="90"/>
      <c r="CT108" s="85"/>
      <c r="CU108" s="85"/>
      <c r="CV108" s="85"/>
      <c r="CW108" s="85"/>
      <c r="CX108" s="85"/>
      <c r="CY108" s="85"/>
      <c r="CZ108" s="85"/>
      <c r="DA108" s="33">
        <f t="shared" si="1"/>
        <v>0</v>
      </c>
    </row>
    <row r="109" spans="35:105" ht="19" x14ac:dyDescent="0.25">
      <c r="AI109" s="71"/>
      <c r="AJ109" s="63"/>
      <c r="AK109" s="20"/>
      <c r="AL109" s="21"/>
      <c r="AM109" s="22"/>
      <c r="AN109" s="23"/>
      <c r="AO109" s="24"/>
      <c r="AP109" s="25"/>
      <c r="AQ109" s="26"/>
      <c r="AR109" s="27"/>
      <c r="AS109" s="192"/>
      <c r="AT109" s="111"/>
      <c r="AU109" s="193"/>
      <c r="AV109" s="140"/>
      <c r="AW109" s="118"/>
      <c r="AX109" s="141"/>
      <c r="AY109" s="149"/>
      <c r="AZ109" s="121"/>
      <c r="BA109" s="150"/>
      <c r="BB109" s="158"/>
      <c r="BC109" s="124"/>
      <c r="BD109" s="159"/>
      <c r="BE109" s="167"/>
      <c r="BF109" s="85"/>
      <c r="BG109" s="168"/>
      <c r="BH109" s="175"/>
      <c r="BI109" s="127"/>
      <c r="BJ109" s="176"/>
      <c r="BK109" s="184"/>
      <c r="BL109" s="130"/>
      <c r="BM109" s="185"/>
      <c r="BN109" s="69"/>
      <c r="BO109" s="85"/>
      <c r="BP109" s="85"/>
      <c r="BQ109" s="85"/>
      <c r="BR109" s="85"/>
      <c r="BS109" s="85"/>
      <c r="BT109" s="85"/>
      <c r="BU109" s="87"/>
      <c r="BV109" s="87"/>
      <c r="BW109" s="87"/>
      <c r="BX109" s="87"/>
      <c r="BY109" s="87"/>
      <c r="BZ109" s="87"/>
      <c r="CA109" s="90"/>
      <c r="CB109" s="90"/>
      <c r="CC109" s="90"/>
      <c r="CD109" s="90"/>
      <c r="CE109" s="90"/>
      <c r="CF109" s="90"/>
      <c r="CG109" s="85"/>
      <c r="CH109" s="85"/>
      <c r="CI109" s="85"/>
      <c r="CJ109" s="85"/>
      <c r="CK109" s="85"/>
      <c r="CL109" s="87"/>
      <c r="CM109" s="87"/>
      <c r="CN109" s="87"/>
      <c r="CO109" s="87"/>
      <c r="CP109" s="90"/>
      <c r="CQ109" s="90"/>
      <c r="CR109" s="90"/>
      <c r="CS109" s="90"/>
      <c r="CT109" s="85"/>
      <c r="CU109" s="85"/>
      <c r="CV109" s="85"/>
      <c r="CW109" s="85"/>
      <c r="CX109" s="85"/>
      <c r="CY109" s="85"/>
      <c r="CZ109" s="85"/>
      <c r="DA109" s="33">
        <f t="shared" si="1"/>
        <v>0</v>
      </c>
    </row>
    <row r="110" spans="35:105" ht="19" x14ac:dyDescent="0.25">
      <c r="AI110" s="71"/>
      <c r="AJ110" s="63"/>
      <c r="AK110" s="20"/>
      <c r="AL110" s="21"/>
      <c r="AM110" s="22"/>
      <c r="AN110" s="23"/>
      <c r="AO110" s="24"/>
      <c r="AP110" s="25"/>
      <c r="AQ110" s="26"/>
      <c r="AR110" s="27"/>
      <c r="AS110" s="192"/>
      <c r="AT110" s="111"/>
      <c r="AU110" s="193"/>
      <c r="AV110" s="140"/>
      <c r="AW110" s="118"/>
      <c r="AX110" s="141"/>
      <c r="AY110" s="149"/>
      <c r="AZ110" s="121"/>
      <c r="BA110" s="150"/>
      <c r="BB110" s="158"/>
      <c r="BC110" s="124"/>
      <c r="BD110" s="159"/>
      <c r="BE110" s="167"/>
      <c r="BF110" s="85"/>
      <c r="BG110" s="168"/>
      <c r="BH110" s="175"/>
      <c r="BI110" s="127"/>
      <c r="BJ110" s="176"/>
      <c r="BK110" s="184"/>
      <c r="BL110" s="130"/>
      <c r="BM110" s="185"/>
      <c r="BN110" s="69"/>
      <c r="BO110" s="85"/>
      <c r="BP110" s="85"/>
      <c r="BQ110" s="85"/>
      <c r="BR110" s="85"/>
      <c r="BS110" s="85"/>
      <c r="BT110" s="85"/>
      <c r="BU110" s="87"/>
      <c r="BV110" s="87"/>
      <c r="BW110" s="87"/>
      <c r="BX110" s="87"/>
      <c r="BY110" s="87"/>
      <c r="BZ110" s="87"/>
      <c r="CA110" s="90"/>
      <c r="CB110" s="90"/>
      <c r="CC110" s="90"/>
      <c r="CD110" s="90"/>
      <c r="CE110" s="90"/>
      <c r="CF110" s="90"/>
      <c r="CG110" s="85"/>
      <c r="CH110" s="85"/>
      <c r="CI110" s="85"/>
      <c r="CJ110" s="85"/>
      <c r="CK110" s="85"/>
      <c r="CL110" s="87"/>
      <c r="CM110" s="87"/>
      <c r="CN110" s="87"/>
      <c r="CO110" s="87"/>
      <c r="CP110" s="90"/>
      <c r="CQ110" s="90"/>
      <c r="CR110" s="90"/>
      <c r="CS110" s="90"/>
      <c r="CT110" s="85"/>
      <c r="CU110" s="85"/>
      <c r="CV110" s="85"/>
      <c r="CW110" s="85"/>
      <c r="CX110" s="85"/>
      <c r="CY110" s="85"/>
      <c r="CZ110" s="85"/>
      <c r="DA110" s="33">
        <f t="shared" si="1"/>
        <v>0</v>
      </c>
    </row>
    <row r="111" spans="35:105" ht="19" x14ac:dyDescent="0.25">
      <c r="AI111" s="71"/>
      <c r="AJ111" s="63"/>
      <c r="AK111" s="20"/>
      <c r="AL111" s="21"/>
      <c r="AM111" s="22"/>
      <c r="AN111" s="23"/>
      <c r="AO111" s="24"/>
      <c r="AP111" s="25"/>
      <c r="AQ111" s="26"/>
      <c r="AR111" s="27"/>
      <c r="AS111" s="192"/>
      <c r="AT111" s="111"/>
      <c r="AU111" s="193"/>
      <c r="AV111" s="140"/>
      <c r="AW111" s="118"/>
      <c r="AX111" s="141"/>
      <c r="AY111" s="149"/>
      <c r="AZ111" s="121"/>
      <c r="BA111" s="150"/>
      <c r="BB111" s="158"/>
      <c r="BC111" s="124"/>
      <c r="BD111" s="159"/>
      <c r="BE111" s="167"/>
      <c r="BF111" s="85"/>
      <c r="BG111" s="168"/>
      <c r="BH111" s="175"/>
      <c r="BI111" s="127"/>
      <c r="BJ111" s="176"/>
      <c r="BK111" s="184"/>
      <c r="BL111" s="130"/>
      <c r="BM111" s="185"/>
      <c r="BN111" s="69"/>
      <c r="BO111" s="85"/>
      <c r="BP111" s="85"/>
      <c r="BQ111" s="85"/>
      <c r="BR111" s="85"/>
      <c r="BS111" s="85"/>
      <c r="BT111" s="85"/>
      <c r="BU111" s="87"/>
      <c r="BV111" s="87"/>
      <c r="BW111" s="87"/>
      <c r="BX111" s="87"/>
      <c r="BY111" s="87"/>
      <c r="BZ111" s="87"/>
      <c r="CA111" s="90"/>
      <c r="CB111" s="90"/>
      <c r="CC111" s="90"/>
      <c r="CD111" s="90"/>
      <c r="CE111" s="90"/>
      <c r="CF111" s="90"/>
      <c r="CG111" s="85"/>
      <c r="CH111" s="85"/>
      <c r="CI111" s="85"/>
      <c r="CJ111" s="85"/>
      <c r="CK111" s="85"/>
      <c r="CL111" s="87"/>
      <c r="CM111" s="87"/>
      <c r="CN111" s="87"/>
      <c r="CO111" s="87"/>
      <c r="CP111" s="90"/>
      <c r="CQ111" s="90"/>
      <c r="CR111" s="90"/>
      <c r="CS111" s="90"/>
      <c r="CT111" s="85"/>
      <c r="CU111" s="85"/>
      <c r="CV111" s="85"/>
      <c r="CW111" s="85"/>
      <c r="CX111" s="85"/>
      <c r="CY111" s="85"/>
      <c r="CZ111" s="85"/>
      <c r="DA111" s="33">
        <f t="shared" si="1"/>
        <v>0</v>
      </c>
    </row>
    <row r="112" spans="35:105" ht="19" x14ac:dyDescent="0.25">
      <c r="AI112" s="71"/>
      <c r="AJ112" s="63"/>
      <c r="AK112" s="20"/>
      <c r="AL112" s="21"/>
      <c r="AM112" s="22"/>
      <c r="AN112" s="23"/>
      <c r="AO112" s="24"/>
      <c r="AP112" s="25"/>
      <c r="AQ112" s="26"/>
      <c r="AR112" s="27"/>
      <c r="AS112" s="192"/>
      <c r="AT112" s="111"/>
      <c r="AU112" s="193"/>
      <c r="AV112" s="140"/>
      <c r="AW112" s="118"/>
      <c r="AX112" s="141"/>
      <c r="AY112" s="149"/>
      <c r="AZ112" s="121"/>
      <c r="BA112" s="150"/>
      <c r="BB112" s="158"/>
      <c r="BC112" s="124"/>
      <c r="BD112" s="159"/>
      <c r="BE112" s="167"/>
      <c r="BF112" s="85"/>
      <c r="BG112" s="168"/>
      <c r="BH112" s="175"/>
      <c r="BI112" s="127"/>
      <c r="BJ112" s="176"/>
      <c r="BK112" s="184"/>
      <c r="BL112" s="130"/>
      <c r="BM112" s="185"/>
      <c r="BN112" s="69"/>
      <c r="BO112" s="85"/>
      <c r="BP112" s="85"/>
      <c r="BQ112" s="85"/>
      <c r="BR112" s="85"/>
      <c r="BS112" s="85"/>
      <c r="BT112" s="85"/>
      <c r="BU112" s="87"/>
      <c r="BV112" s="87"/>
      <c r="BW112" s="87"/>
      <c r="BX112" s="87"/>
      <c r="BY112" s="87"/>
      <c r="BZ112" s="87"/>
      <c r="CA112" s="90"/>
      <c r="CB112" s="90"/>
      <c r="CC112" s="90"/>
      <c r="CD112" s="90"/>
      <c r="CE112" s="90"/>
      <c r="CF112" s="90"/>
      <c r="CG112" s="85"/>
      <c r="CH112" s="85"/>
      <c r="CI112" s="85"/>
      <c r="CJ112" s="85"/>
      <c r="CK112" s="85"/>
      <c r="CL112" s="87"/>
      <c r="CM112" s="87"/>
      <c r="CN112" s="87"/>
      <c r="CO112" s="87"/>
      <c r="CP112" s="90"/>
      <c r="CQ112" s="90"/>
      <c r="CR112" s="90"/>
      <c r="CS112" s="90"/>
      <c r="CT112" s="85"/>
      <c r="CU112" s="85"/>
      <c r="CV112" s="85"/>
      <c r="CW112" s="85"/>
      <c r="CX112" s="85"/>
      <c r="CY112" s="85"/>
      <c r="CZ112" s="85"/>
      <c r="DA112" s="33">
        <f t="shared" si="1"/>
        <v>0</v>
      </c>
    </row>
    <row r="113" spans="35:105" ht="19" x14ac:dyDescent="0.25">
      <c r="AI113" s="71"/>
      <c r="AJ113" s="63"/>
      <c r="AK113" s="20"/>
      <c r="AL113" s="21"/>
      <c r="AM113" s="22"/>
      <c r="AN113" s="23"/>
      <c r="AO113" s="24"/>
      <c r="AP113" s="25"/>
      <c r="AQ113" s="26"/>
      <c r="AR113" s="27"/>
      <c r="AS113" s="192"/>
      <c r="AT113" s="111"/>
      <c r="AU113" s="193"/>
      <c r="AV113" s="140"/>
      <c r="AW113" s="118"/>
      <c r="AX113" s="141"/>
      <c r="AY113" s="149"/>
      <c r="AZ113" s="121"/>
      <c r="BA113" s="150"/>
      <c r="BB113" s="158"/>
      <c r="BC113" s="124"/>
      <c r="BD113" s="159"/>
      <c r="BE113" s="167"/>
      <c r="BF113" s="85"/>
      <c r="BG113" s="168"/>
      <c r="BH113" s="175"/>
      <c r="BI113" s="127"/>
      <c r="BJ113" s="176"/>
      <c r="BK113" s="184"/>
      <c r="BL113" s="130"/>
      <c r="BM113" s="185"/>
      <c r="BN113" s="69"/>
      <c r="BO113" s="85"/>
      <c r="BP113" s="85"/>
      <c r="BQ113" s="85"/>
      <c r="BR113" s="85"/>
      <c r="BS113" s="85"/>
      <c r="BT113" s="85"/>
      <c r="BU113" s="87"/>
      <c r="BV113" s="87"/>
      <c r="BW113" s="87"/>
      <c r="BX113" s="87"/>
      <c r="BY113" s="87"/>
      <c r="BZ113" s="87"/>
      <c r="CA113" s="90"/>
      <c r="CB113" s="90"/>
      <c r="CC113" s="90"/>
      <c r="CD113" s="90"/>
      <c r="CE113" s="90"/>
      <c r="CF113" s="90"/>
      <c r="CG113" s="85"/>
      <c r="CH113" s="85"/>
      <c r="CI113" s="85"/>
      <c r="CJ113" s="85"/>
      <c r="CK113" s="85"/>
      <c r="CL113" s="87"/>
      <c r="CM113" s="87"/>
      <c r="CN113" s="87"/>
      <c r="CO113" s="87"/>
      <c r="CP113" s="90"/>
      <c r="CQ113" s="90"/>
      <c r="CR113" s="90"/>
      <c r="CS113" s="90"/>
      <c r="CT113" s="85"/>
      <c r="CU113" s="85"/>
      <c r="CV113" s="85"/>
      <c r="CW113" s="85"/>
      <c r="CX113" s="85"/>
      <c r="CY113" s="85"/>
      <c r="CZ113" s="85"/>
      <c r="DA113" s="33">
        <f t="shared" si="1"/>
        <v>0</v>
      </c>
    </row>
    <row r="114" spans="35:105" ht="19" x14ac:dyDescent="0.25">
      <c r="AI114" s="71"/>
      <c r="AJ114" s="63"/>
      <c r="AK114" s="20"/>
      <c r="AL114" s="21"/>
      <c r="AM114" s="22"/>
      <c r="AN114" s="23"/>
      <c r="AO114" s="24"/>
      <c r="AP114" s="25"/>
      <c r="AQ114" s="26"/>
      <c r="AR114" s="27"/>
      <c r="AS114" s="192"/>
      <c r="AT114" s="111"/>
      <c r="AU114" s="193"/>
      <c r="AV114" s="140"/>
      <c r="AW114" s="118"/>
      <c r="AX114" s="141"/>
      <c r="AY114" s="149"/>
      <c r="AZ114" s="121"/>
      <c r="BA114" s="150"/>
      <c r="BB114" s="158"/>
      <c r="BC114" s="124"/>
      <c r="BD114" s="159"/>
      <c r="BE114" s="167"/>
      <c r="BF114" s="85"/>
      <c r="BG114" s="168"/>
      <c r="BH114" s="175"/>
      <c r="BI114" s="127"/>
      <c r="BJ114" s="176"/>
      <c r="BK114" s="184"/>
      <c r="BL114" s="130"/>
      <c r="BM114" s="185"/>
      <c r="BN114" s="69"/>
      <c r="BO114" s="85"/>
      <c r="BP114" s="85"/>
      <c r="BQ114" s="85"/>
      <c r="BR114" s="85"/>
      <c r="BS114" s="85"/>
      <c r="BT114" s="85"/>
      <c r="BU114" s="87"/>
      <c r="BV114" s="87"/>
      <c r="BW114" s="87"/>
      <c r="BX114" s="87"/>
      <c r="BY114" s="87"/>
      <c r="BZ114" s="87"/>
      <c r="CA114" s="90"/>
      <c r="CB114" s="90"/>
      <c r="CC114" s="90"/>
      <c r="CD114" s="90"/>
      <c r="CE114" s="90"/>
      <c r="CF114" s="90"/>
      <c r="CG114" s="85"/>
      <c r="CH114" s="85"/>
      <c r="CI114" s="85"/>
      <c r="CJ114" s="85"/>
      <c r="CK114" s="85"/>
      <c r="CL114" s="87"/>
      <c r="CM114" s="87"/>
      <c r="CN114" s="87"/>
      <c r="CO114" s="87"/>
      <c r="CP114" s="90"/>
      <c r="CQ114" s="90"/>
      <c r="CR114" s="90"/>
      <c r="CS114" s="90"/>
      <c r="CT114" s="85"/>
      <c r="CU114" s="85"/>
      <c r="CV114" s="85"/>
      <c r="CW114" s="85"/>
      <c r="CX114" s="85"/>
      <c r="CY114" s="85"/>
      <c r="CZ114" s="85"/>
      <c r="DA114" s="33">
        <f t="shared" si="1"/>
        <v>0</v>
      </c>
    </row>
    <row r="115" spans="35:105" ht="19" x14ac:dyDescent="0.25">
      <c r="AI115" s="71"/>
      <c r="AJ115" s="63"/>
      <c r="AK115" s="20"/>
      <c r="AL115" s="21"/>
      <c r="AM115" s="22"/>
      <c r="AN115" s="23"/>
      <c r="AO115" s="24"/>
      <c r="AP115" s="25"/>
      <c r="AQ115" s="26"/>
      <c r="AR115" s="27"/>
      <c r="AS115" s="192"/>
      <c r="AT115" s="111"/>
      <c r="AU115" s="193"/>
      <c r="AV115" s="140"/>
      <c r="AW115" s="118"/>
      <c r="AX115" s="141"/>
      <c r="AY115" s="149"/>
      <c r="AZ115" s="121"/>
      <c r="BA115" s="150"/>
      <c r="BB115" s="158"/>
      <c r="BC115" s="124"/>
      <c r="BD115" s="159"/>
      <c r="BE115" s="167"/>
      <c r="BF115" s="85"/>
      <c r="BG115" s="168"/>
      <c r="BH115" s="175"/>
      <c r="BI115" s="127"/>
      <c r="BJ115" s="176"/>
      <c r="BK115" s="184"/>
      <c r="BL115" s="130"/>
      <c r="BM115" s="185"/>
      <c r="BN115" s="69"/>
      <c r="BO115" s="85"/>
      <c r="BP115" s="85"/>
      <c r="BQ115" s="85"/>
      <c r="BR115" s="85"/>
      <c r="BS115" s="85"/>
      <c r="BT115" s="85"/>
      <c r="BU115" s="87"/>
      <c r="BV115" s="87"/>
      <c r="BW115" s="87"/>
      <c r="BX115" s="87"/>
      <c r="BY115" s="87"/>
      <c r="BZ115" s="87"/>
      <c r="CA115" s="90"/>
      <c r="CB115" s="90"/>
      <c r="CC115" s="90"/>
      <c r="CD115" s="90"/>
      <c r="CE115" s="90"/>
      <c r="CF115" s="90"/>
      <c r="CG115" s="85"/>
      <c r="CH115" s="85"/>
      <c r="CI115" s="85"/>
      <c r="CJ115" s="85"/>
      <c r="CK115" s="85"/>
      <c r="CL115" s="87"/>
      <c r="CM115" s="87"/>
      <c r="CN115" s="87"/>
      <c r="CO115" s="87"/>
      <c r="CP115" s="90"/>
      <c r="CQ115" s="90"/>
      <c r="CR115" s="90"/>
      <c r="CS115" s="90"/>
      <c r="CT115" s="85"/>
      <c r="CU115" s="85"/>
      <c r="CV115" s="85"/>
      <c r="CW115" s="85"/>
      <c r="CX115" s="85"/>
      <c r="CY115" s="85"/>
      <c r="CZ115" s="85"/>
      <c r="DA115" s="33">
        <f t="shared" si="1"/>
        <v>0</v>
      </c>
    </row>
    <row r="116" spans="35:105" ht="19" x14ac:dyDescent="0.25">
      <c r="AI116" s="71"/>
      <c r="AJ116" s="63"/>
      <c r="AK116" s="20"/>
      <c r="AL116" s="21"/>
      <c r="AM116" s="22"/>
      <c r="AN116" s="23"/>
      <c r="AO116" s="24"/>
      <c r="AP116" s="25"/>
      <c r="AQ116" s="26"/>
      <c r="AR116" s="27"/>
      <c r="AS116" s="192"/>
      <c r="AT116" s="111"/>
      <c r="AU116" s="193"/>
      <c r="AV116" s="140"/>
      <c r="AW116" s="118"/>
      <c r="AX116" s="141"/>
      <c r="AY116" s="149"/>
      <c r="AZ116" s="121"/>
      <c r="BA116" s="150"/>
      <c r="BB116" s="158"/>
      <c r="BC116" s="124"/>
      <c r="BD116" s="159"/>
      <c r="BE116" s="167"/>
      <c r="BF116" s="85"/>
      <c r="BG116" s="168"/>
      <c r="BH116" s="175"/>
      <c r="BI116" s="127"/>
      <c r="BJ116" s="176"/>
      <c r="BK116" s="184"/>
      <c r="BL116" s="130"/>
      <c r="BM116" s="185"/>
      <c r="BN116" s="69"/>
      <c r="BO116" s="85"/>
      <c r="BP116" s="85"/>
      <c r="BQ116" s="85"/>
      <c r="BR116" s="85"/>
      <c r="BS116" s="85"/>
      <c r="BT116" s="85"/>
      <c r="BU116" s="87"/>
      <c r="BV116" s="87"/>
      <c r="BW116" s="87"/>
      <c r="BX116" s="87"/>
      <c r="BY116" s="87"/>
      <c r="BZ116" s="87"/>
      <c r="CA116" s="90"/>
      <c r="CB116" s="90"/>
      <c r="CC116" s="90"/>
      <c r="CD116" s="90"/>
      <c r="CE116" s="90"/>
      <c r="CF116" s="90"/>
      <c r="CG116" s="85"/>
      <c r="CH116" s="85"/>
      <c r="CI116" s="85"/>
      <c r="CJ116" s="85"/>
      <c r="CK116" s="85"/>
      <c r="CL116" s="87"/>
      <c r="CM116" s="87"/>
      <c r="CN116" s="87"/>
      <c r="CO116" s="87"/>
      <c r="CP116" s="90"/>
      <c r="CQ116" s="90"/>
      <c r="CR116" s="90"/>
      <c r="CS116" s="90"/>
      <c r="CT116" s="85"/>
      <c r="CU116" s="85"/>
      <c r="CV116" s="85"/>
      <c r="CW116" s="85"/>
      <c r="CX116" s="85"/>
      <c r="CY116" s="85"/>
      <c r="CZ116" s="85"/>
      <c r="DA116" s="33">
        <f t="shared" si="1"/>
        <v>0</v>
      </c>
    </row>
    <row r="117" spans="35:105" ht="19" x14ac:dyDescent="0.25">
      <c r="AI117" s="71"/>
      <c r="AJ117" s="63"/>
      <c r="AK117" s="20"/>
      <c r="AL117" s="21"/>
      <c r="AM117" s="22"/>
      <c r="AN117" s="23"/>
      <c r="AO117" s="24"/>
      <c r="AP117" s="25"/>
      <c r="AQ117" s="26"/>
      <c r="AR117" s="27"/>
      <c r="AS117" s="192"/>
      <c r="AT117" s="111"/>
      <c r="AU117" s="193"/>
      <c r="AV117" s="140"/>
      <c r="AW117" s="118"/>
      <c r="AX117" s="141"/>
      <c r="AY117" s="149"/>
      <c r="AZ117" s="121"/>
      <c r="BA117" s="150"/>
      <c r="BB117" s="158"/>
      <c r="BC117" s="124"/>
      <c r="BD117" s="159"/>
      <c r="BE117" s="167"/>
      <c r="BF117" s="85"/>
      <c r="BG117" s="168"/>
      <c r="BH117" s="175"/>
      <c r="BI117" s="127"/>
      <c r="BJ117" s="176"/>
      <c r="BK117" s="184"/>
      <c r="BL117" s="130"/>
      <c r="BM117" s="185"/>
      <c r="BN117" s="69"/>
      <c r="BO117" s="85"/>
      <c r="BP117" s="85"/>
      <c r="BQ117" s="85"/>
      <c r="BR117" s="85"/>
      <c r="BS117" s="85"/>
      <c r="BT117" s="85"/>
      <c r="BU117" s="87"/>
      <c r="BV117" s="87"/>
      <c r="BW117" s="87"/>
      <c r="BX117" s="87"/>
      <c r="BY117" s="87"/>
      <c r="BZ117" s="87"/>
      <c r="CA117" s="90"/>
      <c r="CB117" s="90"/>
      <c r="CC117" s="90"/>
      <c r="CD117" s="90"/>
      <c r="CE117" s="90"/>
      <c r="CF117" s="90"/>
      <c r="CG117" s="85"/>
      <c r="CH117" s="85"/>
      <c r="CI117" s="85"/>
      <c r="CJ117" s="85"/>
      <c r="CK117" s="85"/>
      <c r="CL117" s="87"/>
      <c r="CM117" s="87"/>
      <c r="CN117" s="87"/>
      <c r="CO117" s="87"/>
      <c r="CP117" s="90"/>
      <c r="CQ117" s="90"/>
      <c r="CR117" s="90"/>
      <c r="CS117" s="90"/>
      <c r="CT117" s="85"/>
      <c r="CU117" s="85"/>
      <c r="CV117" s="85"/>
      <c r="CW117" s="85"/>
      <c r="CX117" s="85"/>
      <c r="CY117" s="85"/>
      <c r="CZ117" s="85"/>
      <c r="DA117" s="33">
        <f t="shared" si="1"/>
        <v>0</v>
      </c>
    </row>
    <row r="118" spans="35:105" ht="19" x14ac:dyDescent="0.25">
      <c r="AI118" s="71"/>
      <c r="AJ118" s="63"/>
      <c r="AK118" s="20"/>
      <c r="AL118" s="21"/>
      <c r="AM118" s="22"/>
      <c r="AN118" s="23"/>
      <c r="AO118" s="24"/>
      <c r="AP118" s="25"/>
      <c r="AQ118" s="26"/>
      <c r="AR118" s="27"/>
      <c r="AS118" s="192"/>
      <c r="AT118" s="111"/>
      <c r="AU118" s="193"/>
      <c r="AV118" s="140"/>
      <c r="AW118" s="118"/>
      <c r="AX118" s="141"/>
      <c r="AY118" s="149"/>
      <c r="AZ118" s="121"/>
      <c r="BA118" s="150"/>
      <c r="BB118" s="158"/>
      <c r="BC118" s="124"/>
      <c r="BD118" s="159"/>
      <c r="BE118" s="167"/>
      <c r="BF118" s="85"/>
      <c r="BG118" s="168"/>
      <c r="BH118" s="175"/>
      <c r="BI118" s="127"/>
      <c r="BJ118" s="176"/>
      <c r="BK118" s="184"/>
      <c r="BL118" s="130"/>
      <c r="BM118" s="185"/>
      <c r="BN118" s="69"/>
      <c r="BO118" s="85"/>
      <c r="BP118" s="85"/>
      <c r="BQ118" s="85"/>
      <c r="BR118" s="85"/>
      <c r="BS118" s="85"/>
      <c r="BT118" s="85"/>
      <c r="BU118" s="87"/>
      <c r="BV118" s="87"/>
      <c r="BW118" s="87"/>
      <c r="BX118" s="87"/>
      <c r="BY118" s="87"/>
      <c r="BZ118" s="87"/>
      <c r="CA118" s="90"/>
      <c r="CB118" s="90"/>
      <c r="CC118" s="90"/>
      <c r="CD118" s="90"/>
      <c r="CE118" s="90"/>
      <c r="CF118" s="90"/>
      <c r="CG118" s="85"/>
      <c r="CH118" s="85"/>
      <c r="CI118" s="85"/>
      <c r="CJ118" s="85"/>
      <c r="CK118" s="85"/>
      <c r="CL118" s="87"/>
      <c r="CM118" s="87"/>
      <c r="CN118" s="87"/>
      <c r="CO118" s="87"/>
      <c r="CP118" s="90"/>
      <c r="CQ118" s="90"/>
      <c r="CR118" s="90"/>
      <c r="CS118" s="90"/>
      <c r="CT118" s="85"/>
      <c r="CU118" s="85"/>
      <c r="CV118" s="85"/>
      <c r="CW118" s="85"/>
      <c r="CX118" s="85"/>
      <c r="CY118" s="85"/>
      <c r="CZ118" s="85"/>
      <c r="DA118" s="33">
        <f t="shared" si="1"/>
        <v>0</v>
      </c>
    </row>
    <row r="119" spans="35:105" ht="19" x14ac:dyDescent="0.25">
      <c r="AI119" s="71"/>
      <c r="AJ119" s="63"/>
      <c r="AK119" s="20"/>
      <c r="AL119" s="21"/>
      <c r="AM119" s="22"/>
      <c r="AN119" s="23"/>
      <c r="AO119" s="24"/>
      <c r="AP119" s="25"/>
      <c r="AQ119" s="26"/>
      <c r="AR119" s="27"/>
      <c r="AS119" s="192"/>
      <c r="AT119" s="111"/>
      <c r="AU119" s="193"/>
      <c r="AV119" s="140"/>
      <c r="AW119" s="118"/>
      <c r="AX119" s="141"/>
      <c r="AY119" s="149"/>
      <c r="AZ119" s="121"/>
      <c r="BA119" s="150"/>
      <c r="BB119" s="158"/>
      <c r="BC119" s="124"/>
      <c r="BD119" s="159"/>
      <c r="BE119" s="167"/>
      <c r="BF119" s="85"/>
      <c r="BG119" s="168"/>
      <c r="BH119" s="175"/>
      <c r="BI119" s="127"/>
      <c r="BJ119" s="176"/>
      <c r="BK119" s="184"/>
      <c r="BL119" s="130"/>
      <c r="BM119" s="185"/>
      <c r="BN119" s="69"/>
      <c r="BO119" s="85"/>
      <c r="BP119" s="85"/>
      <c r="BQ119" s="85"/>
      <c r="BR119" s="85"/>
      <c r="BS119" s="85"/>
      <c r="BT119" s="85"/>
      <c r="BU119" s="87"/>
      <c r="BV119" s="87"/>
      <c r="BW119" s="87"/>
      <c r="BX119" s="87"/>
      <c r="BY119" s="87"/>
      <c r="BZ119" s="87"/>
      <c r="CA119" s="90"/>
      <c r="CB119" s="90"/>
      <c r="CC119" s="90"/>
      <c r="CD119" s="90"/>
      <c r="CE119" s="90"/>
      <c r="CF119" s="90"/>
      <c r="CG119" s="85"/>
      <c r="CH119" s="85"/>
      <c r="CI119" s="85"/>
      <c r="CJ119" s="85"/>
      <c r="CK119" s="85"/>
      <c r="CL119" s="87"/>
      <c r="CM119" s="87"/>
      <c r="CN119" s="87"/>
      <c r="CO119" s="87"/>
      <c r="CP119" s="90"/>
      <c r="CQ119" s="90"/>
      <c r="CR119" s="90"/>
      <c r="CS119" s="90"/>
      <c r="CT119" s="85"/>
      <c r="CU119" s="85"/>
      <c r="CV119" s="85"/>
      <c r="CW119" s="85"/>
      <c r="CX119" s="85"/>
      <c r="CY119" s="85"/>
      <c r="CZ119" s="85"/>
      <c r="DA119" s="33">
        <f t="shared" si="1"/>
        <v>0</v>
      </c>
    </row>
    <row r="120" spans="35:105" ht="19" x14ac:dyDescent="0.25">
      <c r="AI120" s="71"/>
      <c r="AJ120" s="63"/>
      <c r="AK120" s="20"/>
      <c r="AL120" s="21"/>
      <c r="AM120" s="22"/>
      <c r="AN120" s="23"/>
      <c r="AO120" s="24"/>
      <c r="AP120" s="25"/>
      <c r="AQ120" s="26"/>
      <c r="AR120" s="27"/>
      <c r="AS120" s="192"/>
      <c r="AT120" s="111"/>
      <c r="AU120" s="193"/>
      <c r="AV120" s="140"/>
      <c r="AW120" s="118"/>
      <c r="AX120" s="141"/>
      <c r="AY120" s="149"/>
      <c r="AZ120" s="121"/>
      <c r="BA120" s="150"/>
      <c r="BB120" s="158"/>
      <c r="BC120" s="124"/>
      <c r="BD120" s="159"/>
      <c r="BE120" s="167"/>
      <c r="BF120" s="85"/>
      <c r="BG120" s="168"/>
      <c r="BH120" s="175"/>
      <c r="BI120" s="127"/>
      <c r="BJ120" s="176"/>
      <c r="BK120" s="184"/>
      <c r="BL120" s="130"/>
      <c r="BM120" s="185"/>
      <c r="BN120" s="69"/>
      <c r="BO120" s="85"/>
      <c r="BP120" s="85"/>
      <c r="BQ120" s="85"/>
      <c r="BR120" s="85"/>
      <c r="BS120" s="85"/>
      <c r="BT120" s="85"/>
      <c r="BU120" s="87"/>
      <c r="BV120" s="87"/>
      <c r="BW120" s="87"/>
      <c r="BX120" s="87"/>
      <c r="BY120" s="87"/>
      <c r="BZ120" s="87"/>
      <c r="CA120" s="90"/>
      <c r="CB120" s="90"/>
      <c r="CC120" s="90"/>
      <c r="CD120" s="90"/>
      <c r="CE120" s="90"/>
      <c r="CF120" s="90"/>
      <c r="CG120" s="85"/>
      <c r="CH120" s="85"/>
      <c r="CI120" s="85"/>
      <c r="CJ120" s="85"/>
      <c r="CK120" s="85"/>
      <c r="CL120" s="87"/>
      <c r="CM120" s="87"/>
      <c r="CN120" s="87"/>
      <c r="CO120" s="87"/>
      <c r="CP120" s="90"/>
      <c r="CQ120" s="90"/>
      <c r="CR120" s="90"/>
      <c r="CS120" s="90"/>
      <c r="CT120" s="85"/>
      <c r="CU120" s="85"/>
      <c r="CV120" s="85"/>
      <c r="CW120" s="85"/>
      <c r="CX120" s="85"/>
      <c r="CY120" s="85"/>
      <c r="CZ120" s="85"/>
      <c r="DA120" s="33">
        <f t="shared" si="1"/>
        <v>0</v>
      </c>
    </row>
    <row r="121" spans="35:105" ht="19" x14ac:dyDescent="0.25">
      <c r="AI121" s="71"/>
      <c r="AJ121" s="63"/>
      <c r="AK121" s="20"/>
      <c r="AL121" s="21"/>
      <c r="AM121" s="22"/>
      <c r="AN121" s="23"/>
      <c r="AO121" s="24"/>
      <c r="AP121" s="25"/>
      <c r="AQ121" s="26"/>
      <c r="AR121" s="27"/>
      <c r="AS121" s="192"/>
      <c r="AT121" s="111"/>
      <c r="AU121" s="193"/>
      <c r="AV121" s="140"/>
      <c r="AW121" s="118"/>
      <c r="AX121" s="141"/>
      <c r="AY121" s="149"/>
      <c r="AZ121" s="121"/>
      <c r="BA121" s="150"/>
      <c r="BB121" s="158"/>
      <c r="BC121" s="124"/>
      <c r="BD121" s="159"/>
      <c r="BE121" s="167"/>
      <c r="BF121" s="85"/>
      <c r="BG121" s="168"/>
      <c r="BH121" s="175"/>
      <c r="BI121" s="127"/>
      <c r="BJ121" s="176"/>
      <c r="BK121" s="184"/>
      <c r="BL121" s="130"/>
      <c r="BM121" s="185"/>
      <c r="BN121" s="69"/>
      <c r="BO121" s="85"/>
      <c r="BP121" s="85"/>
      <c r="BQ121" s="85"/>
      <c r="BR121" s="85"/>
      <c r="BS121" s="85"/>
      <c r="BT121" s="85"/>
      <c r="BU121" s="87"/>
      <c r="BV121" s="87"/>
      <c r="BW121" s="87"/>
      <c r="BX121" s="87"/>
      <c r="BY121" s="87"/>
      <c r="BZ121" s="87"/>
      <c r="CA121" s="90"/>
      <c r="CB121" s="90"/>
      <c r="CC121" s="90"/>
      <c r="CD121" s="90"/>
      <c r="CE121" s="90"/>
      <c r="CF121" s="90"/>
      <c r="CG121" s="85"/>
      <c r="CH121" s="85"/>
      <c r="CI121" s="85"/>
      <c r="CJ121" s="85"/>
      <c r="CK121" s="85"/>
      <c r="CL121" s="87"/>
      <c r="CM121" s="87"/>
      <c r="CN121" s="87"/>
      <c r="CO121" s="87"/>
      <c r="CP121" s="90"/>
      <c r="CQ121" s="90"/>
      <c r="CR121" s="90"/>
      <c r="CS121" s="90"/>
      <c r="CT121" s="85"/>
      <c r="CU121" s="85"/>
      <c r="CV121" s="85"/>
      <c r="CW121" s="85"/>
      <c r="CX121" s="85"/>
      <c r="CY121" s="85"/>
      <c r="CZ121" s="85"/>
      <c r="DA121" s="33">
        <f t="shared" si="1"/>
        <v>0</v>
      </c>
    </row>
    <row r="122" spans="35:105" ht="19" x14ac:dyDescent="0.25">
      <c r="AI122" s="71"/>
      <c r="AJ122" s="63"/>
      <c r="AK122" s="20"/>
      <c r="AL122" s="21"/>
      <c r="AM122" s="22"/>
      <c r="AN122" s="23"/>
      <c r="AO122" s="24"/>
      <c r="AP122" s="25"/>
      <c r="AQ122" s="26"/>
      <c r="AR122" s="27"/>
      <c r="AS122" s="192"/>
      <c r="AT122" s="111"/>
      <c r="AU122" s="193"/>
      <c r="AV122" s="140"/>
      <c r="AW122" s="118"/>
      <c r="AX122" s="141"/>
      <c r="AY122" s="149"/>
      <c r="AZ122" s="121"/>
      <c r="BA122" s="150"/>
      <c r="BB122" s="158"/>
      <c r="BC122" s="124"/>
      <c r="BD122" s="159"/>
      <c r="BE122" s="167"/>
      <c r="BF122" s="85"/>
      <c r="BG122" s="168"/>
      <c r="BH122" s="175"/>
      <c r="BI122" s="127"/>
      <c r="BJ122" s="176"/>
      <c r="BK122" s="184"/>
      <c r="BL122" s="130"/>
      <c r="BM122" s="185"/>
      <c r="BN122" s="69"/>
      <c r="BO122" s="85"/>
      <c r="BP122" s="85"/>
      <c r="BQ122" s="85"/>
      <c r="BR122" s="85"/>
      <c r="BS122" s="85"/>
      <c r="BT122" s="85"/>
      <c r="BU122" s="87"/>
      <c r="BV122" s="87"/>
      <c r="BW122" s="87"/>
      <c r="BX122" s="87"/>
      <c r="BY122" s="87"/>
      <c r="BZ122" s="87"/>
      <c r="CA122" s="90"/>
      <c r="CB122" s="90"/>
      <c r="CC122" s="90"/>
      <c r="CD122" s="90"/>
      <c r="CE122" s="90"/>
      <c r="CF122" s="90"/>
      <c r="CG122" s="85"/>
      <c r="CH122" s="85"/>
      <c r="CI122" s="85"/>
      <c r="CJ122" s="85"/>
      <c r="CK122" s="85"/>
      <c r="CL122" s="87"/>
      <c r="CM122" s="87"/>
      <c r="CN122" s="87"/>
      <c r="CO122" s="87"/>
      <c r="CP122" s="90"/>
      <c r="CQ122" s="90"/>
      <c r="CR122" s="90"/>
      <c r="CS122" s="90"/>
      <c r="CT122" s="85"/>
      <c r="CU122" s="85"/>
      <c r="CV122" s="85"/>
      <c r="CW122" s="85"/>
      <c r="CX122" s="85"/>
      <c r="CY122" s="85"/>
      <c r="CZ122" s="85"/>
      <c r="DA122" s="33">
        <f t="shared" si="1"/>
        <v>0</v>
      </c>
    </row>
    <row r="123" spans="35:105" ht="19" x14ac:dyDescent="0.25">
      <c r="AI123" s="71"/>
      <c r="AJ123" s="63"/>
      <c r="AK123" s="20"/>
      <c r="AL123" s="21"/>
      <c r="AM123" s="22"/>
      <c r="AN123" s="23"/>
      <c r="AO123" s="24"/>
      <c r="AP123" s="25"/>
      <c r="AQ123" s="26"/>
      <c r="AR123" s="27"/>
      <c r="AS123" s="192"/>
      <c r="AT123" s="111"/>
      <c r="AU123" s="193"/>
      <c r="AV123" s="140"/>
      <c r="AW123" s="118"/>
      <c r="AX123" s="141"/>
      <c r="AY123" s="149"/>
      <c r="AZ123" s="121"/>
      <c r="BA123" s="150"/>
      <c r="BB123" s="158"/>
      <c r="BC123" s="124"/>
      <c r="BD123" s="159"/>
      <c r="BE123" s="167"/>
      <c r="BF123" s="85"/>
      <c r="BG123" s="168"/>
      <c r="BH123" s="175"/>
      <c r="BI123" s="127"/>
      <c r="BJ123" s="176"/>
      <c r="BK123" s="184"/>
      <c r="BL123" s="130"/>
      <c r="BM123" s="185"/>
      <c r="BN123" s="69"/>
      <c r="BO123" s="85"/>
      <c r="BP123" s="85"/>
      <c r="BQ123" s="85"/>
      <c r="BR123" s="85"/>
      <c r="BS123" s="85"/>
      <c r="BT123" s="85"/>
      <c r="BU123" s="87"/>
      <c r="BV123" s="87"/>
      <c r="BW123" s="87"/>
      <c r="BX123" s="87"/>
      <c r="BY123" s="87"/>
      <c r="BZ123" s="87"/>
      <c r="CA123" s="90"/>
      <c r="CB123" s="90"/>
      <c r="CC123" s="90"/>
      <c r="CD123" s="90"/>
      <c r="CE123" s="90"/>
      <c r="CF123" s="90"/>
      <c r="CG123" s="85"/>
      <c r="CH123" s="85"/>
      <c r="CI123" s="85"/>
      <c r="CJ123" s="85"/>
      <c r="CK123" s="85"/>
      <c r="CL123" s="87"/>
      <c r="CM123" s="87"/>
      <c r="CN123" s="87"/>
      <c r="CO123" s="87"/>
      <c r="CP123" s="90"/>
      <c r="CQ123" s="90"/>
      <c r="CR123" s="90"/>
      <c r="CS123" s="90"/>
      <c r="CT123" s="85"/>
      <c r="CU123" s="85"/>
      <c r="CV123" s="85"/>
      <c r="CW123" s="85"/>
      <c r="CX123" s="85"/>
      <c r="CY123" s="85"/>
      <c r="CZ123" s="85"/>
      <c r="DA123" s="33">
        <f t="shared" si="1"/>
        <v>0</v>
      </c>
    </row>
    <row r="124" spans="35:105" ht="19" x14ac:dyDescent="0.25">
      <c r="AI124" s="71"/>
      <c r="AJ124" s="63"/>
      <c r="AK124" s="20"/>
      <c r="AL124" s="21"/>
      <c r="AM124" s="22"/>
      <c r="AN124" s="23"/>
      <c r="AO124" s="24"/>
      <c r="AP124" s="25"/>
      <c r="AQ124" s="26"/>
      <c r="AR124" s="27"/>
      <c r="AS124" s="192"/>
      <c r="AT124" s="111"/>
      <c r="AU124" s="193"/>
      <c r="AV124" s="140"/>
      <c r="AW124" s="118"/>
      <c r="AX124" s="141"/>
      <c r="AY124" s="149"/>
      <c r="AZ124" s="121"/>
      <c r="BA124" s="150"/>
      <c r="BB124" s="158"/>
      <c r="BC124" s="124"/>
      <c r="BD124" s="159"/>
      <c r="BE124" s="167"/>
      <c r="BF124" s="85"/>
      <c r="BG124" s="168"/>
      <c r="BH124" s="175"/>
      <c r="BI124" s="127"/>
      <c r="BJ124" s="176"/>
      <c r="BK124" s="184"/>
      <c r="BL124" s="130"/>
      <c r="BM124" s="185"/>
      <c r="BN124" s="69"/>
      <c r="BO124" s="85"/>
      <c r="BP124" s="85"/>
      <c r="BQ124" s="85"/>
      <c r="BR124" s="85"/>
      <c r="BS124" s="85"/>
      <c r="BT124" s="85"/>
      <c r="BU124" s="87"/>
      <c r="BV124" s="87"/>
      <c r="BW124" s="87"/>
      <c r="BX124" s="87"/>
      <c r="BY124" s="87"/>
      <c r="BZ124" s="87"/>
      <c r="CA124" s="90"/>
      <c r="CB124" s="90"/>
      <c r="CC124" s="90"/>
      <c r="CD124" s="90"/>
      <c r="CE124" s="90"/>
      <c r="CF124" s="90"/>
      <c r="CG124" s="85"/>
      <c r="CH124" s="85"/>
      <c r="CI124" s="85"/>
      <c r="CJ124" s="85"/>
      <c r="CK124" s="85"/>
      <c r="CL124" s="87"/>
      <c r="CM124" s="87"/>
      <c r="CN124" s="87"/>
      <c r="CO124" s="87"/>
      <c r="CP124" s="90"/>
      <c r="CQ124" s="90"/>
      <c r="CR124" s="90"/>
      <c r="CS124" s="90"/>
      <c r="CT124" s="85"/>
      <c r="CU124" s="85"/>
      <c r="CV124" s="85"/>
      <c r="CW124" s="85"/>
      <c r="CX124" s="85"/>
      <c r="CY124" s="85"/>
      <c r="CZ124" s="85"/>
      <c r="DA124" s="33">
        <f t="shared" si="1"/>
        <v>0</v>
      </c>
    </row>
    <row r="125" spans="35:105" ht="19" x14ac:dyDescent="0.25">
      <c r="AI125" s="71"/>
      <c r="AJ125" s="63"/>
      <c r="AK125" s="20"/>
      <c r="AL125" s="21"/>
      <c r="AM125" s="22"/>
      <c r="AN125" s="23"/>
      <c r="AO125" s="24"/>
      <c r="AP125" s="25"/>
      <c r="AQ125" s="26"/>
      <c r="AR125" s="27"/>
      <c r="AS125" s="192"/>
      <c r="AT125" s="111"/>
      <c r="AU125" s="193"/>
      <c r="AV125" s="140"/>
      <c r="AW125" s="118"/>
      <c r="AX125" s="141"/>
      <c r="AY125" s="149"/>
      <c r="AZ125" s="121"/>
      <c r="BA125" s="150"/>
      <c r="BB125" s="158"/>
      <c r="BC125" s="124"/>
      <c r="BD125" s="159"/>
      <c r="BE125" s="167"/>
      <c r="BF125" s="85"/>
      <c r="BG125" s="168"/>
      <c r="BH125" s="175"/>
      <c r="BI125" s="127"/>
      <c r="BJ125" s="176"/>
      <c r="BK125" s="184"/>
      <c r="BL125" s="130"/>
      <c r="BM125" s="185"/>
      <c r="BN125" s="69"/>
      <c r="BO125" s="85"/>
      <c r="BP125" s="85"/>
      <c r="BQ125" s="85"/>
      <c r="BR125" s="85"/>
      <c r="BS125" s="85"/>
      <c r="BT125" s="85"/>
      <c r="BU125" s="87"/>
      <c r="BV125" s="87"/>
      <c r="BW125" s="87"/>
      <c r="BX125" s="87"/>
      <c r="BY125" s="87"/>
      <c r="BZ125" s="87"/>
      <c r="CA125" s="90"/>
      <c r="CB125" s="90"/>
      <c r="CC125" s="90"/>
      <c r="CD125" s="90"/>
      <c r="CE125" s="90"/>
      <c r="CF125" s="90"/>
      <c r="CG125" s="85"/>
      <c r="CH125" s="85"/>
      <c r="CI125" s="85"/>
      <c r="CJ125" s="85"/>
      <c r="CK125" s="85"/>
      <c r="CL125" s="87"/>
      <c r="CM125" s="87"/>
      <c r="CN125" s="87"/>
      <c r="CO125" s="87"/>
      <c r="CP125" s="90"/>
      <c r="CQ125" s="90"/>
      <c r="CR125" s="90"/>
      <c r="CS125" s="90"/>
      <c r="CT125" s="85"/>
      <c r="CU125" s="85"/>
      <c r="CV125" s="85"/>
      <c r="CW125" s="85"/>
      <c r="CX125" s="85"/>
      <c r="CY125" s="85"/>
      <c r="CZ125" s="85"/>
      <c r="DA125" s="33">
        <f t="shared" si="1"/>
        <v>0</v>
      </c>
    </row>
    <row r="126" spans="35:105" ht="19" x14ac:dyDescent="0.25">
      <c r="AI126" s="71"/>
      <c r="AJ126" s="63"/>
      <c r="AK126" s="20"/>
      <c r="AL126" s="21"/>
      <c r="AM126" s="22"/>
      <c r="AN126" s="23"/>
      <c r="AO126" s="24"/>
      <c r="AP126" s="25"/>
      <c r="AQ126" s="26"/>
      <c r="AR126" s="27"/>
      <c r="AS126" s="192"/>
      <c r="AT126" s="111"/>
      <c r="AU126" s="193"/>
      <c r="AV126" s="140"/>
      <c r="AW126" s="118"/>
      <c r="AX126" s="141"/>
      <c r="AY126" s="149"/>
      <c r="AZ126" s="121"/>
      <c r="BA126" s="150"/>
      <c r="BB126" s="158"/>
      <c r="BC126" s="124"/>
      <c r="BD126" s="159"/>
      <c r="BE126" s="167"/>
      <c r="BF126" s="85"/>
      <c r="BG126" s="168"/>
      <c r="BH126" s="175"/>
      <c r="BI126" s="127"/>
      <c r="BJ126" s="176"/>
      <c r="BK126" s="184"/>
      <c r="BL126" s="130"/>
      <c r="BM126" s="185"/>
      <c r="BN126" s="69"/>
      <c r="BO126" s="85"/>
      <c r="BP126" s="85"/>
      <c r="BQ126" s="85"/>
      <c r="BR126" s="85"/>
      <c r="BS126" s="85"/>
      <c r="BT126" s="85"/>
      <c r="BU126" s="87"/>
      <c r="BV126" s="87"/>
      <c r="BW126" s="87"/>
      <c r="BX126" s="87"/>
      <c r="BY126" s="87"/>
      <c r="BZ126" s="87"/>
      <c r="CA126" s="90"/>
      <c r="CB126" s="90"/>
      <c r="CC126" s="90"/>
      <c r="CD126" s="90"/>
      <c r="CE126" s="90"/>
      <c r="CF126" s="90"/>
      <c r="CG126" s="85"/>
      <c r="CH126" s="85"/>
      <c r="CI126" s="85"/>
      <c r="CJ126" s="85"/>
      <c r="CK126" s="85"/>
      <c r="CL126" s="87"/>
      <c r="CM126" s="87"/>
      <c r="CN126" s="87"/>
      <c r="CO126" s="87"/>
      <c r="CP126" s="90"/>
      <c r="CQ126" s="90"/>
      <c r="CR126" s="90"/>
      <c r="CS126" s="90"/>
      <c r="CT126" s="85"/>
      <c r="CU126" s="85"/>
      <c r="CV126" s="85"/>
      <c r="CW126" s="85"/>
      <c r="CX126" s="85"/>
      <c r="CY126" s="85"/>
      <c r="CZ126" s="85"/>
      <c r="DA126" s="33">
        <f t="shared" si="1"/>
        <v>0</v>
      </c>
    </row>
    <row r="127" spans="35:105" ht="19" x14ac:dyDescent="0.25">
      <c r="AI127" s="71"/>
      <c r="AJ127" s="63"/>
      <c r="AK127" s="20"/>
      <c r="AL127" s="21"/>
      <c r="AM127" s="22"/>
      <c r="AN127" s="23"/>
      <c r="AO127" s="24"/>
      <c r="AP127" s="25"/>
      <c r="AQ127" s="26"/>
      <c r="AR127" s="27"/>
      <c r="AS127" s="192"/>
      <c r="AT127" s="111"/>
      <c r="AU127" s="193"/>
      <c r="AV127" s="140"/>
      <c r="AW127" s="118"/>
      <c r="AX127" s="141"/>
      <c r="AY127" s="149"/>
      <c r="AZ127" s="121"/>
      <c r="BA127" s="150"/>
      <c r="BB127" s="158"/>
      <c r="BC127" s="124"/>
      <c r="BD127" s="159"/>
      <c r="BE127" s="167"/>
      <c r="BF127" s="85"/>
      <c r="BG127" s="168"/>
      <c r="BH127" s="175"/>
      <c r="BI127" s="127"/>
      <c r="BJ127" s="176"/>
      <c r="BK127" s="184"/>
      <c r="BL127" s="130"/>
      <c r="BM127" s="185"/>
      <c r="BN127" s="69"/>
      <c r="BO127" s="85"/>
      <c r="BP127" s="85"/>
      <c r="BQ127" s="85"/>
      <c r="BR127" s="85"/>
      <c r="BS127" s="85"/>
      <c r="BT127" s="85"/>
      <c r="BU127" s="87"/>
      <c r="BV127" s="87"/>
      <c r="BW127" s="87"/>
      <c r="BX127" s="87"/>
      <c r="BY127" s="87"/>
      <c r="BZ127" s="87"/>
      <c r="CA127" s="90"/>
      <c r="CB127" s="90"/>
      <c r="CC127" s="90"/>
      <c r="CD127" s="90"/>
      <c r="CE127" s="90"/>
      <c r="CF127" s="90"/>
      <c r="CG127" s="85"/>
      <c r="CH127" s="85"/>
      <c r="CI127" s="85"/>
      <c r="CJ127" s="85"/>
      <c r="CK127" s="85"/>
      <c r="CL127" s="87"/>
      <c r="CM127" s="87"/>
      <c r="CN127" s="87"/>
      <c r="CO127" s="87"/>
      <c r="CP127" s="90"/>
      <c r="CQ127" s="90"/>
      <c r="CR127" s="90"/>
      <c r="CS127" s="90"/>
      <c r="CT127" s="85"/>
      <c r="CU127" s="85"/>
      <c r="CV127" s="85"/>
      <c r="CW127" s="85"/>
      <c r="CX127" s="85"/>
      <c r="CY127" s="85"/>
      <c r="CZ127" s="85"/>
      <c r="DA127" s="33">
        <f t="shared" si="1"/>
        <v>0</v>
      </c>
    </row>
    <row r="128" spans="35:105" ht="19" x14ac:dyDescent="0.25">
      <c r="AI128" s="71"/>
      <c r="AJ128" s="63"/>
      <c r="AK128" s="20"/>
      <c r="AL128" s="21"/>
      <c r="AM128" s="22"/>
      <c r="AN128" s="23"/>
      <c r="AO128" s="24"/>
      <c r="AP128" s="25"/>
      <c r="AQ128" s="26"/>
      <c r="AR128" s="27"/>
      <c r="AS128" s="192"/>
      <c r="AT128" s="111"/>
      <c r="AU128" s="193"/>
      <c r="AV128" s="140"/>
      <c r="AW128" s="118"/>
      <c r="AX128" s="141"/>
      <c r="AY128" s="149"/>
      <c r="AZ128" s="121"/>
      <c r="BA128" s="150"/>
      <c r="BB128" s="158"/>
      <c r="BC128" s="124"/>
      <c r="BD128" s="159"/>
      <c r="BE128" s="167"/>
      <c r="BF128" s="85"/>
      <c r="BG128" s="168"/>
      <c r="BH128" s="175"/>
      <c r="BI128" s="127"/>
      <c r="BJ128" s="176"/>
      <c r="BK128" s="184"/>
      <c r="BL128" s="130"/>
      <c r="BM128" s="185"/>
      <c r="BN128" s="69"/>
      <c r="BO128" s="85"/>
      <c r="BP128" s="85"/>
      <c r="BQ128" s="85"/>
      <c r="BR128" s="85"/>
      <c r="BS128" s="85"/>
      <c r="BT128" s="85"/>
      <c r="BU128" s="87"/>
      <c r="BV128" s="87"/>
      <c r="BW128" s="87"/>
      <c r="BX128" s="87"/>
      <c r="BY128" s="87"/>
      <c r="BZ128" s="87"/>
      <c r="CA128" s="90"/>
      <c r="CB128" s="90"/>
      <c r="CC128" s="90"/>
      <c r="CD128" s="90"/>
      <c r="CE128" s="90"/>
      <c r="CF128" s="90"/>
      <c r="CG128" s="85"/>
      <c r="CH128" s="85"/>
      <c r="CI128" s="85"/>
      <c r="CJ128" s="85"/>
      <c r="CK128" s="85"/>
      <c r="CL128" s="87"/>
      <c r="CM128" s="87"/>
      <c r="CN128" s="87"/>
      <c r="CO128" s="87"/>
      <c r="CP128" s="90"/>
      <c r="CQ128" s="90"/>
      <c r="CR128" s="90"/>
      <c r="CS128" s="90"/>
      <c r="CT128" s="85"/>
      <c r="CU128" s="85"/>
      <c r="CV128" s="85"/>
      <c r="CW128" s="85"/>
      <c r="CX128" s="85"/>
      <c r="CY128" s="85"/>
      <c r="CZ128" s="85"/>
      <c r="DA128" s="33">
        <f t="shared" si="1"/>
        <v>0</v>
      </c>
    </row>
    <row r="129" spans="35:105" ht="19" x14ac:dyDescent="0.25">
      <c r="AI129" s="71"/>
      <c r="AJ129" s="63"/>
      <c r="AK129" s="20"/>
      <c r="AL129" s="21"/>
      <c r="AM129" s="22"/>
      <c r="AN129" s="23"/>
      <c r="AO129" s="24"/>
      <c r="AP129" s="25"/>
      <c r="AQ129" s="26"/>
      <c r="AR129" s="27"/>
      <c r="AS129" s="192"/>
      <c r="AT129" s="111"/>
      <c r="AU129" s="193"/>
      <c r="AV129" s="140"/>
      <c r="AW129" s="118"/>
      <c r="AX129" s="141"/>
      <c r="AY129" s="149"/>
      <c r="AZ129" s="121"/>
      <c r="BA129" s="150"/>
      <c r="BB129" s="158"/>
      <c r="BC129" s="124"/>
      <c r="BD129" s="159"/>
      <c r="BE129" s="167"/>
      <c r="BF129" s="85"/>
      <c r="BG129" s="168"/>
      <c r="BH129" s="175"/>
      <c r="BI129" s="127"/>
      <c r="BJ129" s="176"/>
      <c r="BK129" s="184"/>
      <c r="BL129" s="130"/>
      <c r="BM129" s="185"/>
      <c r="BN129" s="69"/>
      <c r="BO129" s="85"/>
      <c r="BP129" s="85"/>
      <c r="BQ129" s="85"/>
      <c r="BR129" s="85"/>
      <c r="BS129" s="85"/>
      <c r="BT129" s="85"/>
      <c r="BU129" s="87"/>
      <c r="BV129" s="87"/>
      <c r="BW129" s="87"/>
      <c r="BX129" s="87"/>
      <c r="BY129" s="87"/>
      <c r="BZ129" s="87"/>
      <c r="CA129" s="90"/>
      <c r="CB129" s="90"/>
      <c r="CC129" s="90"/>
      <c r="CD129" s="90"/>
      <c r="CE129" s="90"/>
      <c r="CF129" s="90"/>
      <c r="CG129" s="85"/>
      <c r="CH129" s="85"/>
      <c r="CI129" s="85"/>
      <c r="CJ129" s="85"/>
      <c r="CK129" s="85"/>
      <c r="CL129" s="87"/>
      <c r="CM129" s="87"/>
      <c r="CN129" s="87"/>
      <c r="CO129" s="87"/>
      <c r="CP129" s="90"/>
      <c r="CQ129" s="90"/>
      <c r="CR129" s="90"/>
      <c r="CS129" s="90"/>
      <c r="CT129" s="85"/>
      <c r="CU129" s="85"/>
      <c r="CV129" s="85"/>
      <c r="CW129" s="85"/>
      <c r="CX129" s="85"/>
      <c r="CY129" s="85"/>
      <c r="CZ129" s="85"/>
      <c r="DA129" s="33">
        <f t="shared" si="1"/>
        <v>0</v>
      </c>
    </row>
    <row r="130" spans="35:105" ht="19" x14ac:dyDescent="0.25">
      <c r="AI130" s="71"/>
      <c r="AJ130" s="63"/>
      <c r="AK130" s="20"/>
      <c r="AL130" s="21"/>
      <c r="AM130" s="22"/>
      <c r="AN130" s="23"/>
      <c r="AO130" s="24"/>
      <c r="AP130" s="25"/>
      <c r="AQ130" s="26"/>
      <c r="AR130" s="27"/>
      <c r="AS130" s="192"/>
      <c r="AT130" s="111"/>
      <c r="AU130" s="193"/>
      <c r="AV130" s="140"/>
      <c r="AW130" s="118"/>
      <c r="AX130" s="141"/>
      <c r="AY130" s="149"/>
      <c r="AZ130" s="121"/>
      <c r="BA130" s="150"/>
      <c r="BB130" s="158"/>
      <c r="BC130" s="124"/>
      <c r="BD130" s="159"/>
      <c r="BE130" s="167"/>
      <c r="BF130" s="85"/>
      <c r="BG130" s="168"/>
      <c r="BH130" s="175"/>
      <c r="BI130" s="127"/>
      <c r="BJ130" s="176"/>
      <c r="BK130" s="184"/>
      <c r="BL130" s="130"/>
      <c r="BM130" s="185"/>
      <c r="BN130" s="69"/>
      <c r="BO130" s="85"/>
      <c r="BP130" s="85"/>
      <c r="BQ130" s="85"/>
      <c r="BR130" s="85"/>
      <c r="BS130" s="85"/>
      <c r="BT130" s="85"/>
      <c r="BU130" s="87"/>
      <c r="BV130" s="87"/>
      <c r="BW130" s="87"/>
      <c r="BX130" s="87"/>
      <c r="BY130" s="87"/>
      <c r="BZ130" s="87"/>
      <c r="CA130" s="90"/>
      <c r="CB130" s="90"/>
      <c r="CC130" s="90"/>
      <c r="CD130" s="90"/>
      <c r="CE130" s="90"/>
      <c r="CF130" s="90"/>
      <c r="CG130" s="85"/>
      <c r="CH130" s="85"/>
      <c r="CI130" s="85"/>
      <c r="CJ130" s="85"/>
      <c r="CK130" s="85"/>
      <c r="CL130" s="87"/>
      <c r="CM130" s="87"/>
      <c r="CN130" s="87"/>
      <c r="CO130" s="87"/>
      <c r="CP130" s="90"/>
      <c r="CQ130" s="90"/>
      <c r="CR130" s="90"/>
      <c r="CS130" s="90"/>
      <c r="CT130" s="85"/>
      <c r="CU130" s="85"/>
      <c r="CV130" s="85"/>
      <c r="CW130" s="85"/>
      <c r="CX130" s="85"/>
      <c r="CY130" s="85"/>
      <c r="CZ130" s="85"/>
      <c r="DA130" s="33">
        <f t="shared" si="1"/>
        <v>0</v>
      </c>
    </row>
    <row r="131" spans="35:105" ht="19" x14ac:dyDescent="0.25">
      <c r="AI131" s="71"/>
      <c r="AJ131" s="63"/>
      <c r="AK131" s="20"/>
      <c r="AL131" s="21"/>
      <c r="AM131" s="22"/>
      <c r="AN131" s="23"/>
      <c r="AO131" s="24"/>
      <c r="AP131" s="25"/>
      <c r="AQ131" s="26"/>
      <c r="AR131" s="27"/>
      <c r="AS131" s="192"/>
      <c r="AT131" s="111"/>
      <c r="AU131" s="193"/>
      <c r="AV131" s="140"/>
      <c r="AW131" s="118"/>
      <c r="AX131" s="141"/>
      <c r="AY131" s="149"/>
      <c r="AZ131" s="121"/>
      <c r="BA131" s="150"/>
      <c r="BB131" s="158"/>
      <c r="BC131" s="124"/>
      <c r="BD131" s="159"/>
      <c r="BE131" s="167"/>
      <c r="BF131" s="85"/>
      <c r="BG131" s="168"/>
      <c r="BH131" s="175"/>
      <c r="BI131" s="127"/>
      <c r="BJ131" s="176"/>
      <c r="BK131" s="184"/>
      <c r="BL131" s="130"/>
      <c r="BM131" s="185"/>
      <c r="BN131" s="69"/>
      <c r="BO131" s="85"/>
      <c r="BP131" s="85"/>
      <c r="BQ131" s="85"/>
      <c r="BR131" s="85"/>
      <c r="BS131" s="85"/>
      <c r="BT131" s="85"/>
      <c r="BU131" s="87"/>
      <c r="BV131" s="87"/>
      <c r="BW131" s="87"/>
      <c r="BX131" s="87"/>
      <c r="BY131" s="87"/>
      <c r="BZ131" s="87"/>
      <c r="CA131" s="90"/>
      <c r="CB131" s="90"/>
      <c r="CC131" s="90"/>
      <c r="CD131" s="90"/>
      <c r="CE131" s="90"/>
      <c r="CF131" s="90"/>
      <c r="CG131" s="85"/>
      <c r="CH131" s="85"/>
      <c r="CI131" s="85"/>
      <c r="CJ131" s="85"/>
      <c r="CK131" s="85"/>
      <c r="CL131" s="87"/>
      <c r="CM131" s="87"/>
      <c r="CN131" s="87"/>
      <c r="CO131" s="87"/>
      <c r="CP131" s="90"/>
      <c r="CQ131" s="90"/>
      <c r="CR131" s="90"/>
      <c r="CS131" s="90"/>
      <c r="CT131" s="85"/>
      <c r="CU131" s="85"/>
      <c r="CV131" s="85"/>
      <c r="CW131" s="85"/>
      <c r="CX131" s="85"/>
      <c r="CY131" s="85"/>
      <c r="CZ131" s="85"/>
      <c r="DA131" s="33">
        <f t="shared" si="1"/>
        <v>0</v>
      </c>
    </row>
    <row r="132" spans="35:105" ht="19" x14ac:dyDescent="0.25">
      <c r="AI132" s="71"/>
      <c r="AJ132" s="63"/>
      <c r="AK132" s="20"/>
      <c r="AL132" s="21"/>
      <c r="AM132" s="22"/>
      <c r="AN132" s="23"/>
      <c r="AO132" s="24"/>
      <c r="AP132" s="25"/>
      <c r="AQ132" s="26"/>
      <c r="AR132" s="27"/>
      <c r="AS132" s="192"/>
      <c r="AT132" s="111"/>
      <c r="AU132" s="193"/>
      <c r="AV132" s="140"/>
      <c r="AW132" s="118"/>
      <c r="AX132" s="141"/>
      <c r="AY132" s="149"/>
      <c r="AZ132" s="121"/>
      <c r="BA132" s="150"/>
      <c r="BB132" s="158"/>
      <c r="BC132" s="124"/>
      <c r="BD132" s="159"/>
      <c r="BE132" s="167"/>
      <c r="BF132" s="85"/>
      <c r="BG132" s="168"/>
      <c r="BH132" s="175"/>
      <c r="BI132" s="127"/>
      <c r="BJ132" s="176"/>
      <c r="BK132" s="184"/>
      <c r="BL132" s="130"/>
      <c r="BM132" s="185"/>
      <c r="BN132" s="69"/>
      <c r="BO132" s="85"/>
      <c r="BP132" s="85"/>
      <c r="BQ132" s="85"/>
      <c r="BR132" s="85"/>
      <c r="BS132" s="85"/>
      <c r="BT132" s="85"/>
      <c r="BU132" s="87"/>
      <c r="BV132" s="87"/>
      <c r="BW132" s="87"/>
      <c r="BX132" s="87"/>
      <c r="BY132" s="87"/>
      <c r="BZ132" s="87"/>
      <c r="CA132" s="90"/>
      <c r="CB132" s="90"/>
      <c r="CC132" s="90"/>
      <c r="CD132" s="90"/>
      <c r="CE132" s="90"/>
      <c r="CF132" s="90"/>
      <c r="CG132" s="85"/>
      <c r="CH132" s="85"/>
      <c r="CI132" s="85"/>
      <c r="CJ132" s="85"/>
      <c r="CK132" s="85"/>
      <c r="CL132" s="87"/>
      <c r="CM132" s="87"/>
      <c r="CN132" s="87"/>
      <c r="CO132" s="87"/>
      <c r="CP132" s="90"/>
      <c r="CQ132" s="90"/>
      <c r="CR132" s="90"/>
      <c r="CS132" s="90"/>
      <c r="CT132" s="85"/>
      <c r="CU132" s="85"/>
      <c r="CV132" s="85"/>
      <c r="CW132" s="85"/>
      <c r="CX132" s="85"/>
      <c r="CY132" s="85"/>
      <c r="CZ132" s="85"/>
      <c r="DA132" s="33">
        <f t="shared" si="1"/>
        <v>0</v>
      </c>
    </row>
    <row r="133" spans="35:105" ht="19" x14ac:dyDescent="0.25">
      <c r="AI133" s="71"/>
      <c r="AJ133" s="63"/>
      <c r="AK133" s="20"/>
      <c r="AL133" s="21"/>
      <c r="AM133" s="22"/>
      <c r="AN133" s="23"/>
      <c r="AO133" s="24"/>
      <c r="AP133" s="25"/>
      <c r="AQ133" s="26"/>
      <c r="AR133" s="27"/>
      <c r="AS133" s="192"/>
      <c r="AT133" s="111"/>
      <c r="AU133" s="193"/>
      <c r="AV133" s="140"/>
      <c r="AW133" s="118"/>
      <c r="AX133" s="141"/>
      <c r="AY133" s="149"/>
      <c r="AZ133" s="121"/>
      <c r="BA133" s="150"/>
      <c r="BB133" s="158"/>
      <c r="BC133" s="124"/>
      <c r="BD133" s="159"/>
      <c r="BE133" s="167"/>
      <c r="BF133" s="85"/>
      <c r="BG133" s="168"/>
      <c r="BH133" s="175"/>
      <c r="BI133" s="127"/>
      <c r="BJ133" s="176"/>
      <c r="BK133" s="184"/>
      <c r="BL133" s="130"/>
      <c r="BM133" s="185"/>
      <c r="BN133" s="69"/>
      <c r="BO133" s="85"/>
      <c r="BP133" s="85"/>
      <c r="BQ133" s="85"/>
      <c r="BR133" s="85"/>
      <c r="BS133" s="85"/>
      <c r="BT133" s="85"/>
      <c r="BU133" s="87"/>
      <c r="BV133" s="87"/>
      <c r="BW133" s="87"/>
      <c r="BX133" s="87"/>
      <c r="BY133" s="87"/>
      <c r="BZ133" s="87"/>
      <c r="CA133" s="90"/>
      <c r="CB133" s="90"/>
      <c r="CC133" s="90"/>
      <c r="CD133" s="90"/>
      <c r="CE133" s="90"/>
      <c r="CF133" s="90"/>
      <c r="CG133" s="85"/>
      <c r="CH133" s="85"/>
      <c r="CI133" s="85"/>
      <c r="CJ133" s="85"/>
      <c r="CK133" s="85"/>
      <c r="CL133" s="87"/>
      <c r="CM133" s="87"/>
      <c r="CN133" s="87"/>
      <c r="CO133" s="87"/>
      <c r="CP133" s="90"/>
      <c r="CQ133" s="90"/>
      <c r="CR133" s="90"/>
      <c r="CS133" s="90"/>
      <c r="CT133" s="85"/>
      <c r="CU133" s="85"/>
      <c r="CV133" s="85"/>
      <c r="CW133" s="85"/>
      <c r="CX133" s="85"/>
      <c r="CY133" s="85"/>
      <c r="CZ133" s="85"/>
      <c r="DA133" s="33">
        <f t="shared" si="1"/>
        <v>0</v>
      </c>
    </row>
    <row r="134" spans="35:105" ht="19" x14ac:dyDescent="0.25">
      <c r="AI134" s="71"/>
      <c r="AJ134" s="63"/>
      <c r="AK134" s="20"/>
      <c r="AL134" s="21"/>
      <c r="AM134" s="22"/>
      <c r="AN134" s="23"/>
      <c r="AO134" s="24"/>
      <c r="AP134" s="25"/>
      <c r="AQ134" s="26"/>
      <c r="AR134" s="27"/>
      <c r="AS134" s="192"/>
      <c r="AT134" s="111"/>
      <c r="AU134" s="193"/>
      <c r="AV134" s="140"/>
      <c r="AW134" s="118"/>
      <c r="AX134" s="141"/>
      <c r="AY134" s="149"/>
      <c r="AZ134" s="121"/>
      <c r="BA134" s="150"/>
      <c r="BB134" s="158"/>
      <c r="BC134" s="124"/>
      <c r="BD134" s="159"/>
      <c r="BE134" s="167"/>
      <c r="BF134" s="85"/>
      <c r="BG134" s="168"/>
      <c r="BH134" s="175"/>
      <c r="BI134" s="127"/>
      <c r="BJ134" s="176"/>
      <c r="BK134" s="184"/>
      <c r="BL134" s="130"/>
      <c r="BM134" s="185"/>
      <c r="BN134" s="69"/>
      <c r="BO134" s="85"/>
      <c r="BP134" s="85"/>
      <c r="BQ134" s="85"/>
      <c r="BR134" s="85"/>
      <c r="BS134" s="85"/>
      <c r="BT134" s="85"/>
      <c r="BU134" s="87"/>
      <c r="BV134" s="87"/>
      <c r="BW134" s="87"/>
      <c r="BX134" s="87"/>
      <c r="BY134" s="87"/>
      <c r="BZ134" s="87"/>
      <c r="CA134" s="90"/>
      <c r="CB134" s="90"/>
      <c r="CC134" s="90"/>
      <c r="CD134" s="90"/>
      <c r="CE134" s="90"/>
      <c r="CF134" s="90"/>
      <c r="CG134" s="85"/>
      <c r="CH134" s="85"/>
      <c r="CI134" s="85"/>
      <c r="CJ134" s="85"/>
      <c r="CK134" s="85"/>
      <c r="CL134" s="87"/>
      <c r="CM134" s="87"/>
      <c r="CN134" s="87"/>
      <c r="CO134" s="87"/>
      <c r="CP134" s="90"/>
      <c r="CQ134" s="90"/>
      <c r="CR134" s="90"/>
      <c r="CS134" s="90"/>
      <c r="CT134" s="85"/>
      <c r="CU134" s="85"/>
      <c r="CV134" s="85"/>
      <c r="CW134" s="85"/>
      <c r="CX134" s="85"/>
      <c r="CY134" s="85"/>
      <c r="CZ134" s="85"/>
      <c r="DA134" s="33">
        <f t="shared" si="1"/>
        <v>0</v>
      </c>
    </row>
    <row r="135" spans="35:105" ht="19" x14ac:dyDescent="0.25">
      <c r="AI135" s="71"/>
      <c r="AJ135" s="63"/>
      <c r="AK135" s="20"/>
      <c r="AL135" s="21"/>
      <c r="AM135" s="22"/>
      <c r="AN135" s="23"/>
      <c r="AO135" s="24"/>
      <c r="AP135" s="25"/>
      <c r="AQ135" s="26"/>
      <c r="AR135" s="27"/>
      <c r="AS135" s="192"/>
      <c r="AT135" s="111"/>
      <c r="AU135" s="193"/>
      <c r="AV135" s="140"/>
      <c r="AW135" s="118"/>
      <c r="AX135" s="141"/>
      <c r="AY135" s="149"/>
      <c r="AZ135" s="121"/>
      <c r="BA135" s="150"/>
      <c r="BB135" s="158"/>
      <c r="BC135" s="124"/>
      <c r="BD135" s="159"/>
      <c r="BE135" s="167"/>
      <c r="BF135" s="85"/>
      <c r="BG135" s="168"/>
      <c r="BH135" s="175"/>
      <c r="BI135" s="127"/>
      <c r="BJ135" s="176"/>
      <c r="BK135" s="184"/>
      <c r="BL135" s="130"/>
      <c r="BM135" s="185"/>
      <c r="BN135" s="69"/>
      <c r="BO135" s="85"/>
      <c r="BP135" s="85"/>
      <c r="BQ135" s="85"/>
      <c r="BR135" s="85"/>
      <c r="BS135" s="85"/>
      <c r="BT135" s="85"/>
      <c r="BU135" s="87"/>
      <c r="BV135" s="87"/>
      <c r="BW135" s="87"/>
      <c r="BX135" s="87"/>
      <c r="BY135" s="87"/>
      <c r="BZ135" s="87"/>
      <c r="CA135" s="90"/>
      <c r="CB135" s="90"/>
      <c r="CC135" s="90"/>
      <c r="CD135" s="90"/>
      <c r="CE135" s="90"/>
      <c r="CF135" s="90"/>
      <c r="CG135" s="85"/>
      <c r="CH135" s="85"/>
      <c r="CI135" s="85"/>
      <c r="CJ135" s="85"/>
      <c r="CK135" s="85"/>
      <c r="CL135" s="87"/>
      <c r="CM135" s="87"/>
      <c r="CN135" s="87"/>
      <c r="CO135" s="87"/>
      <c r="CP135" s="90"/>
      <c r="CQ135" s="90"/>
      <c r="CR135" s="90"/>
      <c r="CS135" s="90"/>
      <c r="CT135" s="85"/>
      <c r="CU135" s="85"/>
      <c r="CV135" s="85"/>
      <c r="CW135" s="85"/>
      <c r="CX135" s="85"/>
      <c r="CY135" s="85"/>
      <c r="CZ135" s="85"/>
      <c r="DA135" s="33">
        <f t="shared" si="1"/>
        <v>0</v>
      </c>
    </row>
    <row r="136" spans="35:105" ht="19" x14ac:dyDescent="0.25">
      <c r="AI136" s="71"/>
      <c r="AJ136" s="63"/>
      <c r="AK136" s="20"/>
      <c r="AL136" s="21"/>
      <c r="AM136" s="22"/>
      <c r="AN136" s="23"/>
      <c r="AO136" s="24"/>
      <c r="AP136" s="25"/>
      <c r="AQ136" s="26"/>
      <c r="AR136" s="27"/>
      <c r="AS136" s="192"/>
      <c r="AT136" s="111"/>
      <c r="AU136" s="193"/>
      <c r="AV136" s="140"/>
      <c r="AW136" s="118"/>
      <c r="AX136" s="141"/>
      <c r="AY136" s="149"/>
      <c r="AZ136" s="121"/>
      <c r="BA136" s="150"/>
      <c r="BB136" s="158"/>
      <c r="BC136" s="124"/>
      <c r="BD136" s="159"/>
      <c r="BE136" s="167"/>
      <c r="BF136" s="85"/>
      <c r="BG136" s="168"/>
      <c r="BH136" s="175"/>
      <c r="BI136" s="127"/>
      <c r="BJ136" s="176"/>
      <c r="BK136" s="184"/>
      <c r="BL136" s="130"/>
      <c r="BM136" s="185"/>
      <c r="BN136" s="69"/>
      <c r="BO136" s="85"/>
      <c r="BP136" s="85"/>
      <c r="BQ136" s="85"/>
      <c r="BR136" s="85"/>
      <c r="BS136" s="85"/>
      <c r="BT136" s="85"/>
      <c r="BU136" s="87"/>
      <c r="BV136" s="87"/>
      <c r="BW136" s="87"/>
      <c r="BX136" s="87"/>
      <c r="BY136" s="87"/>
      <c r="BZ136" s="87"/>
      <c r="CA136" s="90"/>
      <c r="CB136" s="90"/>
      <c r="CC136" s="90"/>
      <c r="CD136" s="90"/>
      <c r="CE136" s="90"/>
      <c r="CF136" s="90"/>
      <c r="CG136" s="85"/>
      <c r="CH136" s="85"/>
      <c r="CI136" s="85"/>
      <c r="CJ136" s="85"/>
      <c r="CK136" s="85"/>
      <c r="CL136" s="87"/>
      <c r="CM136" s="87"/>
      <c r="CN136" s="87"/>
      <c r="CO136" s="87"/>
      <c r="CP136" s="90"/>
      <c r="CQ136" s="90"/>
      <c r="CR136" s="90"/>
      <c r="CS136" s="90"/>
      <c r="CT136" s="85"/>
      <c r="CU136" s="85"/>
      <c r="CV136" s="85"/>
      <c r="CW136" s="85"/>
      <c r="CX136" s="85"/>
      <c r="CY136" s="85"/>
      <c r="CZ136" s="85"/>
      <c r="DA136" s="33">
        <f t="shared" si="1"/>
        <v>0</v>
      </c>
    </row>
    <row r="137" spans="35:105" ht="19" x14ac:dyDescent="0.25">
      <c r="AI137" s="71"/>
      <c r="AJ137" s="63"/>
      <c r="AK137" s="20"/>
      <c r="AL137" s="21"/>
      <c r="AM137" s="22"/>
      <c r="AN137" s="23"/>
      <c r="AO137" s="24"/>
      <c r="AP137" s="25"/>
      <c r="AQ137" s="26"/>
      <c r="AR137" s="27"/>
      <c r="AS137" s="192"/>
      <c r="AT137" s="111"/>
      <c r="AU137" s="193"/>
      <c r="AV137" s="140"/>
      <c r="AW137" s="118"/>
      <c r="AX137" s="141"/>
      <c r="AY137" s="149"/>
      <c r="AZ137" s="121"/>
      <c r="BA137" s="150"/>
      <c r="BB137" s="158"/>
      <c r="BC137" s="124"/>
      <c r="BD137" s="159"/>
      <c r="BE137" s="167"/>
      <c r="BF137" s="85"/>
      <c r="BG137" s="168"/>
      <c r="BH137" s="175"/>
      <c r="BI137" s="127"/>
      <c r="BJ137" s="176"/>
      <c r="BK137" s="184"/>
      <c r="BL137" s="130"/>
      <c r="BM137" s="185"/>
      <c r="BN137" s="69"/>
      <c r="BO137" s="85"/>
      <c r="BP137" s="85"/>
      <c r="BQ137" s="85"/>
      <c r="BR137" s="85"/>
      <c r="BS137" s="85"/>
      <c r="BT137" s="85"/>
      <c r="BU137" s="87"/>
      <c r="BV137" s="87"/>
      <c r="BW137" s="87"/>
      <c r="BX137" s="87"/>
      <c r="BY137" s="87"/>
      <c r="BZ137" s="87"/>
      <c r="CA137" s="90"/>
      <c r="CB137" s="90"/>
      <c r="CC137" s="90"/>
      <c r="CD137" s="90"/>
      <c r="CE137" s="90"/>
      <c r="CF137" s="90"/>
      <c r="CG137" s="85"/>
      <c r="CH137" s="85"/>
      <c r="CI137" s="85"/>
      <c r="CJ137" s="85"/>
      <c r="CK137" s="85"/>
      <c r="CL137" s="87"/>
      <c r="CM137" s="87"/>
      <c r="CN137" s="87"/>
      <c r="CO137" s="87"/>
      <c r="CP137" s="90"/>
      <c r="CQ137" s="90"/>
      <c r="CR137" s="90"/>
      <c r="CS137" s="90"/>
      <c r="CT137" s="85"/>
      <c r="CU137" s="85"/>
      <c r="CV137" s="85"/>
      <c r="CW137" s="85"/>
      <c r="CX137" s="85"/>
      <c r="CY137" s="85"/>
      <c r="CZ137" s="85"/>
      <c r="DA137" s="33">
        <f t="shared" si="1"/>
        <v>0</v>
      </c>
    </row>
    <row r="138" spans="35:105" ht="19" x14ac:dyDescent="0.25">
      <c r="AI138" s="71"/>
      <c r="AJ138" s="63"/>
      <c r="AK138" s="20"/>
      <c r="AL138" s="21"/>
      <c r="AM138" s="22"/>
      <c r="AN138" s="23"/>
      <c r="AO138" s="24"/>
      <c r="AP138" s="25"/>
      <c r="AQ138" s="26"/>
      <c r="AR138" s="27"/>
      <c r="AS138" s="192"/>
      <c r="AT138" s="111"/>
      <c r="AU138" s="193"/>
      <c r="AV138" s="140"/>
      <c r="AW138" s="118"/>
      <c r="AX138" s="141"/>
      <c r="AY138" s="149"/>
      <c r="AZ138" s="121"/>
      <c r="BA138" s="150"/>
      <c r="BB138" s="158"/>
      <c r="BC138" s="124"/>
      <c r="BD138" s="159"/>
      <c r="BE138" s="167"/>
      <c r="BF138" s="85"/>
      <c r="BG138" s="168"/>
      <c r="BH138" s="175"/>
      <c r="BI138" s="127"/>
      <c r="BJ138" s="176"/>
      <c r="BK138" s="184"/>
      <c r="BL138" s="130"/>
      <c r="BM138" s="185"/>
      <c r="BN138" s="69"/>
      <c r="BO138" s="85"/>
      <c r="BP138" s="85"/>
      <c r="BQ138" s="85"/>
      <c r="BR138" s="85"/>
      <c r="BS138" s="85"/>
      <c r="BT138" s="85"/>
      <c r="BU138" s="87"/>
      <c r="BV138" s="87"/>
      <c r="BW138" s="87"/>
      <c r="BX138" s="87"/>
      <c r="BY138" s="87"/>
      <c r="BZ138" s="87"/>
      <c r="CA138" s="90"/>
      <c r="CB138" s="90"/>
      <c r="CC138" s="90"/>
      <c r="CD138" s="90"/>
      <c r="CE138" s="90"/>
      <c r="CF138" s="90"/>
      <c r="CG138" s="85"/>
      <c r="CH138" s="85"/>
      <c r="CI138" s="85"/>
      <c r="CJ138" s="85"/>
      <c r="CK138" s="85"/>
      <c r="CL138" s="87"/>
      <c r="CM138" s="87"/>
      <c r="CN138" s="87"/>
      <c r="CO138" s="87"/>
      <c r="CP138" s="90"/>
      <c r="CQ138" s="90"/>
      <c r="CR138" s="90"/>
      <c r="CS138" s="90"/>
      <c r="CT138" s="85"/>
      <c r="CU138" s="85"/>
      <c r="CV138" s="85"/>
      <c r="CW138" s="85"/>
      <c r="CX138" s="85"/>
      <c r="CY138" s="85"/>
      <c r="CZ138" s="85"/>
      <c r="DA138" s="33">
        <f t="shared" si="1"/>
        <v>0</v>
      </c>
    </row>
    <row r="139" spans="35:105" ht="19" x14ac:dyDescent="0.25">
      <c r="AI139" s="71"/>
      <c r="AJ139" s="63"/>
      <c r="AK139" s="20"/>
      <c r="AL139" s="21"/>
      <c r="AM139" s="22"/>
      <c r="AN139" s="23"/>
      <c r="AO139" s="24"/>
      <c r="AP139" s="25"/>
      <c r="AQ139" s="26"/>
      <c r="AR139" s="27"/>
      <c r="AS139" s="192"/>
      <c r="AT139" s="111"/>
      <c r="AU139" s="193"/>
      <c r="AV139" s="140"/>
      <c r="AW139" s="118"/>
      <c r="AX139" s="141"/>
      <c r="AY139" s="149"/>
      <c r="AZ139" s="121"/>
      <c r="BA139" s="150"/>
      <c r="BB139" s="158"/>
      <c r="BC139" s="124"/>
      <c r="BD139" s="159"/>
      <c r="BE139" s="167"/>
      <c r="BF139" s="85"/>
      <c r="BG139" s="168"/>
      <c r="BH139" s="175"/>
      <c r="BI139" s="127"/>
      <c r="BJ139" s="176"/>
      <c r="BK139" s="184"/>
      <c r="BL139" s="130"/>
      <c r="BM139" s="185"/>
      <c r="BN139" s="69"/>
      <c r="BO139" s="85"/>
      <c r="BP139" s="85"/>
      <c r="BQ139" s="85"/>
      <c r="BR139" s="85"/>
      <c r="BS139" s="85"/>
      <c r="BT139" s="85"/>
      <c r="BU139" s="87"/>
      <c r="BV139" s="87"/>
      <c r="BW139" s="87"/>
      <c r="BX139" s="87"/>
      <c r="BY139" s="87"/>
      <c r="BZ139" s="87"/>
      <c r="CA139" s="90"/>
      <c r="CB139" s="90"/>
      <c r="CC139" s="90"/>
      <c r="CD139" s="90"/>
      <c r="CE139" s="90"/>
      <c r="CF139" s="90"/>
      <c r="CG139" s="85"/>
      <c r="CH139" s="85"/>
      <c r="CI139" s="85"/>
      <c r="CJ139" s="85"/>
      <c r="CK139" s="85"/>
      <c r="CL139" s="87"/>
      <c r="CM139" s="87"/>
      <c r="CN139" s="87"/>
      <c r="CO139" s="87"/>
      <c r="CP139" s="90"/>
      <c r="CQ139" s="90"/>
      <c r="CR139" s="90"/>
      <c r="CS139" s="90"/>
      <c r="CT139" s="85"/>
      <c r="CU139" s="85"/>
      <c r="CV139" s="85"/>
      <c r="CW139" s="85"/>
      <c r="CX139" s="85"/>
      <c r="CY139" s="85"/>
      <c r="CZ139" s="85"/>
      <c r="DA139" s="33">
        <f t="shared" si="1"/>
        <v>0</v>
      </c>
    </row>
    <row r="140" spans="35:105" ht="19" x14ac:dyDescent="0.25">
      <c r="AI140" s="71"/>
      <c r="AJ140" s="63"/>
      <c r="AK140" s="20"/>
      <c r="AL140" s="21"/>
      <c r="AM140" s="22"/>
      <c r="AN140" s="23"/>
      <c r="AO140" s="24"/>
      <c r="AP140" s="25"/>
      <c r="AQ140" s="26"/>
      <c r="AR140" s="27"/>
      <c r="AS140" s="192"/>
      <c r="AT140" s="111"/>
      <c r="AU140" s="193"/>
      <c r="AV140" s="140"/>
      <c r="AW140" s="118"/>
      <c r="AX140" s="141"/>
      <c r="AY140" s="149"/>
      <c r="AZ140" s="121"/>
      <c r="BA140" s="150"/>
      <c r="BB140" s="158"/>
      <c r="BC140" s="124"/>
      <c r="BD140" s="159"/>
      <c r="BE140" s="167"/>
      <c r="BF140" s="85"/>
      <c r="BG140" s="168"/>
      <c r="BH140" s="175"/>
      <c r="BI140" s="127"/>
      <c r="BJ140" s="176"/>
      <c r="BK140" s="184"/>
      <c r="BL140" s="130"/>
      <c r="BM140" s="185"/>
      <c r="BN140" s="69"/>
      <c r="BO140" s="85"/>
      <c r="BP140" s="85"/>
      <c r="BQ140" s="85"/>
      <c r="BR140" s="85"/>
      <c r="BS140" s="85"/>
      <c r="BT140" s="85"/>
      <c r="BU140" s="87"/>
      <c r="BV140" s="87"/>
      <c r="BW140" s="87"/>
      <c r="BX140" s="87"/>
      <c r="BY140" s="87"/>
      <c r="BZ140" s="87"/>
      <c r="CA140" s="90"/>
      <c r="CB140" s="90"/>
      <c r="CC140" s="90"/>
      <c r="CD140" s="90"/>
      <c r="CE140" s="90"/>
      <c r="CF140" s="90"/>
      <c r="CG140" s="85"/>
      <c r="CH140" s="85"/>
      <c r="CI140" s="85"/>
      <c r="CJ140" s="85"/>
      <c r="CK140" s="85"/>
      <c r="CL140" s="87"/>
      <c r="CM140" s="87"/>
      <c r="CN140" s="87"/>
      <c r="CO140" s="87"/>
      <c r="CP140" s="90"/>
      <c r="CQ140" s="90"/>
      <c r="CR140" s="90"/>
      <c r="CS140" s="90"/>
      <c r="CT140" s="85"/>
      <c r="CU140" s="85"/>
      <c r="CV140" s="85"/>
      <c r="CW140" s="85"/>
      <c r="CX140" s="85"/>
      <c r="CY140" s="85"/>
      <c r="CZ140" s="85"/>
      <c r="DA140" s="33">
        <f t="shared" si="1"/>
        <v>0</v>
      </c>
    </row>
    <row r="141" spans="35:105" ht="19" x14ac:dyDescent="0.25">
      <c r="AI141" s="71"/>
      <c r="AJ141" s="63"/>
      <c r="AK141" s="20"/>
      <c r="AL141" s="21"/>
      <c r="AM141" s="22"/>
      <c r="AN141" s="23"/>
      <c r="AO141" s="24"/>
      <c r="AP141" s="25"/>
      <c r="AQ141" s="26"/>
      <c r="AR141" s="27"/>
      <c r="AS141" s="192"/>
      <c r="AT141" s="111"/>
      <c r="AU141" s="193"/>
      <c r="AV141" s="140"/>
      <c r="AW141" s="118"/>
      <c r="AX141" s="141"/>
      <c r="AY141" s="149"/>
      <c r="AZ141" s="121"/>
      <c r="BA141" s="150"/>
      <c r="BB141" s="158"/>
      <c r="BC141" s="124"/>
      <c r="BD141" s="159"/>
      <c r="BE141" s="167"/>
      <c r="BF141" s="85"/>
      <c r="BG141" s="168"/>
      <c r="BH141" s="175"/>
      <c r="BI141" s="127"/>
      <c r="BJ141" s="176"/>
      <c r="BK141" s="184"/>
      <c r="BL141" s="130"/>
      <c r="BM141" s="185"/>
      <c r="BN141" s="69"/>
      <c r="BO141" s="85"/>
      <c r="BP141" s="85"/>
      <c r="BQ141" s="85"/>
      <c r="BR141" s="85"/>
      <c r="BS141" s="85"/>
      <c r="BT141" s="85"/>
      <c r="BU141" s="87"/>
      <c r="BV141" s="87"/>
      <c r="BW141" s="87"/>
      <c r="BX141" s="87"/>
      <c r="BY141" s="87"/>
      <c r="BZ141" s="87"/>
      <c r="CA141" s="90"/>
      <c r="CB141" s="90"/>
      <c r="CC141" s="90"/>
      <c r="CD141" s="90"/>
      <c r="CE141" s="90"/>
      <c r="CF141" s="90"/>
      <c r="CG141" s="85"/>
      <c r="CH141" s="85"/>
      <c r="CI141" s="85"/>
      <c r="CJ141" s="85"/>
      <c r="CK141" s="85"/>
      <c r="CL141" s="87"/>
      <c r="CM141" s="87"/>
      <c r="CN141" s="87"/>
      <c r="CO141" s="87"/>
      <c r="CP141" s="90"/>
      <c r="CQ141" s="90"/>
      <c r="CR141" s="90"/>
      <c r="CS141" s="90"/>
      <c r="CT141" s="85"/>
      <c r="CU141" s="85"/>
      <c r="CV141" s="85"/>
      <c r="CW141" s="85"/>
      <c r="CX141" s="85"/>
      <c r="CY141" s="85"/>
      <c r="CZ141" s="85"/>
      <c r="DA141" s="33">
        <f t="shared" si="1"/>
        <v>0</v>
      </c>
    </row>
    <row r="142" spans="35:105" ht="19" x14ac:dyDescent="0.25">
      <c r="AI142" s="71"/>
      <c r="AJ142" s="63"/>
      <c r="AK142" s="20"/>
      <c r="AL142" s="21"/>
      <c r="AM142" s="22"/>
      <c r="AN142" s="23"/>
      <c r="AO142" s="24"/>
      <c r="AP142" s="25"/>
      <c r="AQ142" s="26"/>
      <c r="AR142" s="27"/>
      <c r="AS142" s="192"/>
      <c r="AT142" s="111"/>
      <c r="AU142" s="193"/>
      <c r="AV142" s="140"/>
      <c r="AW142" s="118"/>
      <c r="AX142" s="141"/>
      <c r="AY142" s="149"/>
      <c r="AZ142" s="121"/>
      <c r="BA142" s="150"/>
      <c r="BB142" s="158"/>
      <c r="BC142" s="124"/>
      <c r="BD142" s="159"/>
      <c r="BE142" s="167"/>
      <c r="BF142" s="85"/>
      <c r="BG142" s="168"/>
      <c r="BH142" s="175"/>
      <c r="BI142" s="127"/>
      <c r="BJ142" s="176"/>
      <c r="BK142" s="184"/>
      <c r="BL142" s="130"/>
      <c r="BM142" s="185"/>
      <c r="BN142" s="69"/>
      <c r="BO142" s="85"/>
      <c r="BP142" s="85"/>
      <c r="BQ142" s="85"/>
      <c r="BR142" s="85"/>
      <c r="BS142" s="85"/>
      <c r="BT142" s="85"/>
      <c r="BU142" s="87"/>
      <c r="BV142" s="87"/>
      <c r="BW142" s="87"/>
      <c r="BX142" s="87"/>
      <c r="BY142" s="87"/>
      <c r="BZ142" s="87"/>
      <c r="CA142" s="90"/>
      <c r="CB142" s="90"/>
      <c r="CC142" s="90"/>
      <c r="CD142" s="90"/>
      <c r="CE142" s="90"/>
      <c r="CF142" s="90"/>
      <c r="CG142" s="85"/>
      <c r="CH142" s="85"/>
      <c r="CI142" s="85"/>
      <c r="CJ142" s="85"/>
      <c r="CK142" s="85"/>
      <c r="CL142" s="87"/>
      <c r="CM142" s="87"/>
      <c r="CN142" s="87"/>
      <c r="CO142" s="87"/>
      <c r="CP142" s="90"/>
      <c r="CQ142" s="90"/>
      <c r="CR142" s="90"/>
      <c r="CS142" s="90"/>
      <c r="CT142" s="85"/>
      <c r="CU142" s="85"/>
      <c r="CV142" s="85"/>
      <c r="CW142" s="85"/>
      <c r="CX142" s="85"/>
      <c r="CY142" s="85"/>
      <c r="CZ142" s="85"/>
      <c r="DA142" s="33">
        <f t="shared" si="1"/>
        <v>0</v>
      </c>
    </row>
    <row r="143" spans="35:105" ht="19" x14ac:dyDescent="0.25">
      <c r="AI143" s="71"/>
      <c r="AJ143" s="63"/>
      <c r="AK143" s="20"/>
      <c r="AL143" s="21"/>
      <c r="AM143" s="22"/>
      <c r="AN143" s="23"/>
      <c r="AO143" s="24"/>
      <c r="AP143" s="25"/>
      <c r="AQ143" s="26"/>
      <c r="AR143" s="27"/>
      <c r="AS143" s="192"/>
      <c r="AT143" s="111"/>
      <c r="AU143" s="193"/>
      <c r="AV143" s="140"/>
      <c r="AW143" s="118"/>
      <c r="AX143" s="141"/>
      <c r="AY143" s="149"/>
      <c r="AZ143" s="121"/>
      <c r="BA143" s="150"/>
      <c r="BB143" s="158"/>
      <c r="BC143" s="124"/>
      <c r="BD143" s="159"/>
      <c r="BE143" s="167"/>
      <c r="BF143" s="85"/>
      <c r="BG143" s="168"/>
      <c r="BH143" s="175"/>
      <c r="BI143" s="127"/>
      <c r="BJ143" s="176"/>
      <c r="BK143" s="184"/>
      <c r="BL143" s="130"/>
      <c r="BM143" s="185"/>
      <c r="BN143" s="69"/>
      <c r="BO143" s="85"/>
      <c r="BP143" s="85"/>
      <c r="BQ143" s="85"/>
      <c r="BR143" s="85"/>
      <c r="BS143" s="85"/>
      <c r="BT143" s="85"/>
      <c r="BU143" s="87"/>
      <c r="BV143" s="87"/>
      <c r="BW143" s="87"/>
      <c r="BX143" s="87"/>
      <c r="BY143" s="87"/>
      <c r="BZ143" s="87"/>
      <c r="CA143" s="90"/>
      <c r="CB143" s="90"/>
      <c r="CC143" s="90"/>
      <c r="CD143" s="90"/>
      <c r="CE143" s="90"/>
      <c r="CF143" s="90"/>
      <c r="CG143" s="85"/>
      <c r="CH143" s="85"/>
      <c r="CI143" s="85"/>
      <c r="CJ143" s="85"/>
      <c r="CK143" s="85"/>
      <c r="CL143" s="87"/>
      <c r="CM143" s="87"/>
      <c r="CN143" s="87"/>
      <c r="CO143" s="87"/>
      <c r="CP143" s="90"/>
      <c r="CQ143" s="90"/>
      <c r="CR143" s="90"/>
      <c r="CS143" s="90"/>
      <c r="CT143" s="85"/>
      <c r="CU143" s="85"/>
      <c r="CV143" s="85"/>
      <c r="CW143" s="85"/>
      <c r="CX143" s="85"/>
      <c r="CY143" s="85"/>
      <c r="CZ143" s="85"/>
      <c r="DA143" s="33">
        <f t="shared" si="1"/>
        <v>0</v>
      </c>
    </row>
    <row r="144" spans="35:105" ht="19" x14ac:dyDescent="0.25">
      <c r="AI144" s="71"/>
      <c r="AJ144" s="63"/>
      <c r="AK144" s="20"/>
      <c r="AL144" s="21"/>
      <c r="AM144" s="22"/>
      <c r="AN144" s="23"/>
      <c r="AO144" s="24"/>
      <c r="AP144" s="25"/>
      <c r="AQ144" s="26"/>
      <c r="AR144" s="27"/>
      <c r="AS144" s="192"/>
      <c r="AT144" s="111"/>
      <c r="AU144" s="193"/>
      <c r="AV144" s="140"/>
      <c r="AW144" s="118"/>
      <c r="AX144" s="141"/>
      <c r="AY144" s="149"/>
      <c r="AZ144" s="121"/>
      <c r="BA144" s="150"/>
      <c r="BB144" s="158"/>
      <c r="BC144" s="124"/>
      <c r="BD144" s="159"/>
      <c r="BE144" s="167"/>
      <c r="BF144" s="85"/>
      <c r="BG144" s="168"/>
      <c r="BH144" s="175"/>
      <c r="BI144" s="127"/>
      <c r="BJ144" s="176"/>
      <c r="BK144" s="184"/>
      <c r="BL144" s="130"/>
      <c r="BM144" s="185"/>
      <c r="BN144" s="69"/>
      <c r="BO144" s="85"/>
      <c r="BP144" s="85"/>
      <c r="BQ144" s="85"/>
      <c r="BR144" s="85"/>
      <c r="BS144" s="85"/>
      <c r="BT144" s="85"/>
      <c r="BU144" s="87"/>
      <c r="BV144" s="87"/>
      <c r="BW144" s="87"/>
      <c r="BX144" s="87"/>
      <c r="BY144" s="87"/>
      <c r="BZ144" s="87"/>
      <c r="CA144" s="90"/>
      <c r="CB144" s="90"/>
      <c r="CC144" s="90"/>
      <c r="CD144" s="90"/>
      <c r="CE144" s="90"/>
      <c r="CF144" s="90"/>
      <c r="CG144" s="85"/>
      <c r="CH144" s="85"/>
      <c r="CI144" s="85"/>
      <c r="CJ144" s="85"/>
      <c r="CK144" s="85"/>
      <c r="CL144" s="87"/>
      <c r="CM144" s="87"/>
      <c r="CN144" s="87"/>
      <c r="CO144" s="87"/>
      <c r="CP144" s="90"/>
      <c r="CQ144" s="90"/>
      <c r="CR144" s="90"/>
      <c r="CS144" s="90"/>
      <c r="CT144" s="85"/>
      <c r="CU144" s="85"/>
      <c r="CV144" s="85"/>
      <c r="CW144" s="85"/>
      <c r="CX144" s="85"/>
      <c r="CY144" s="85"/>
      <c r="CZ144" s="85"/>
      <c r="DA144" s="33">
        <f t="shared" si="1"/>
        <v>0</v>
      </c>
    </row>
    <row r="145" spans="35:105" ht="19" x14ac:dyDescent="0.25">
      <c r="AI145" s="71"/>
      <c r="AJ145" s="63"/>
      <c r="AK145" s="20"/>
      <c r="AL145" s="21"/>
      <c r="AM145" s="22"/>
      <c r="AN145" s="23"/>
      <c r="AO145" s="24"/>
      <c r="AP145" s="25"/>
      <c r="AQ145" s="26"/>
      <c r="AR145" s="27"/>
      <c r="AS145" s="192"/>
      <c r="AT145" s="111"/>
      <c r="AU145" s="193"/>
      <c r="AV145" s="140"/>
      <c r="AW145" s="118"/>
      <c r="AX145" s="141"/>
      <c r="AY145" s="149"/>
      <c r="AZ145" s="121"/>
      <c r="BA145" s="150"/>
      <c r="BB145" s="158"/>
      <c r="BC145" s="124"/>
      <c r="BD145" s="159"/>
      <c r="BE145" s="167"/>
      <c r="BF145" s="85"/>
      <c r="BG145" s="168"/>
      <c r="BH145" s="175"/>
      <c r="BI145" s="127"/>
      <c r="BJ145" s="176"/>
      <c r="BK145" s="184"/>
      <c r="BL145" s="130"/>
      <c r="BM145" s="185"/>
      <c r="BN145" s="69"/>
      <c r="BO145" s="85"/>
      <c r="BP145" s="85"/>
      <c r="BQ145" s="85"/>
      <c r="BR145" s="85"/>
      <c r="BS145" s="85"/>
      <c r="BT145" s="85"/>
      <c r="BU145" s="87"/>
      <c r="BV145" s="87"/>
      <c r="BW145" s="87"/>
      <c r="BX145" s="87"/>
      <c r="BY145" s="87"/>
      <c r="BZ145" s="87"/>
      <c r="CA145" s="90"/>
      <c r="CB145" s="90"/>
      <c r="CC145" s="90"/>
      <c r="CD145" s="90"/>
      <c r="CE145" s="90"/>
      <c r="CF145" s="90"/>
      <c r="CG145" s="85"/>
      <c r="CH145" s="85"/>
      <c r="CI145" s="85"/>
      <c r="CJ145" s="85"/>
      <c r="CK145" s="85"/>
      <c r="CL145" s="87"/>
      <c r="CM145" s="87"/>
      <c r="CN145" s="87"/>
      <c r="CO145" s="87"/>
      <c r="CP145" s="90"/>
      <c r="CQ145" s="90"/>
      <c r="CR145" s="90"/>
      <c r="CS145" s="90"/>
      <c r="CT145" s="85"/>
      <c r="CU145" s="85"/>
      <c r="CV145" s="85"/>
      <c r="CW145" s="85"/>
      <c r="CX145" s="85"/>
      <c r="CY145" s="85"/>
      <c r="CZ145" s="85"/>
      <c r="DA145" s="33">
        <f t="shared" si="1"/>
        <v>0</v>
      </c>
    </row>
    <row r="146" spans="35:105" ht="19" x14ac:dyDescent="0.25">
      <c r="AI146" s="71"/>
      <c r="AJ146" s="63"/>
      <c r="AK146" s="20"/>
      <c r="AL146" s="21"/>
      <c r="AM146" s="22"/>
      <c r="AN146" s="23"/>
      <c r="AO146" s="24"/>
      <c r="AP146" s="25"/>
      <c r="AQ146" s="26"/>
      <c r="AR146" s="27"/>
      <c r="AS146" s="192"/>
      <c r="AT146" s="111"/>
      <c r="AU146" s="193"/>
      <c r="AV146" s="140"/>
      <c r="AW146" s="118"/>
      <c r="AX146" s="141"/>
      <c r="AY146" s="149"/>
      <c r="AZ146" s="121"/>
      <c r="BA146" s="150"/>
      <c r="BB146" s="158"/>
      <c r="BC146" s="124"/>
      <c r="BD146" s="159"/>
      <c r="BE146" s="167"/>
      <c r="BF146" s="85"/>
      <c r="BG146" s="168"/>
      <c r="BH146" s="175"/>
      <c r="BI146" s="127"/>
      <c r="BJ146" s="176"/>
      <c r="BK146" s="184"/>
      <c r="BL146" s="130"/>
      <c r="BM146" s="185"/>
      <c r="BN146" s="69"/>
      <c r="BO146" s="85"/>
      <c r="BP146" s="85"/>
      <c r="BQ146" s="85"/>
      <c r="BR146" s="85"/>
      <c r="BS146" s="85"/>
      <c r="BT146" s="85"/>
      <c r="BU146" s="87"/>
      <c r="BV146" s="87"/>
      <c r="BW146" s="87"/>
      <c r="BX146" s="87"/>
      <c r="BY146" s="87"/>
      <c r="BZ146" s="87"/>
      <c r="CA146" s="90"/>
      <c r="CB146" s="90"/>
      <c r="CC146" s="90"/>
      <c r="CD146" s="90"/>
      <c r="CE146" s="90"/>
      <c r="CF146" s="90"/>
      <c r="CG146" s="85"/>
      <c r="CH146" s="85"/>
      <c r="CI146" s="85"/>
      <c r="CJ146" s="85"/>
      <c r="CK146" s="85"/>
      <c r="CL146" s="87"/>
      <c r="CM146" s="87"/>
      <c r="CN146" s="87"/>
      <c r="CO146" s="87"/>
      <c r="CP146" s="90"/>
      <c r="CQ146" s="90"/>
      <c r="CR146" s="90"/>
      <c r="CS146" s="90"/>
      <c r="CT146" s="85"/>
      <c r="CU146" s="85"/>
      <c r="CV146" s="85"/>
      <c r="CW146" s="85"/>
      <c r="CX146" s="85"/>
      <c r="CY146" s="85"/>
      <c r="CZ146" s="85"/>
      <c r="DA146" s="33">
        <f t="shared" si="1"/>
        <v>0</v>
      </c>
    </row>
    <row r="147" spans="35:105" ht="19" x14ac:dyDescent="0.25">
      <c r="AI147" s="71"/>
      <c r="AJ147" s="63"/>
      <c r="AK147" s="20"/>
      <c r="AL147" s="21"/>
      <c r="AM147" s="22"/>
      <c r="AN147" s="23"/>
      <c r="AO147" s="24"/>
      <c r="AP147" s="25"/>
      <c r="AQ147" s="26"/>
      <c r="AR147" s="27"/>
      <c r="AS147" s="192"/>
      <c r="AT147" s="111"/>
      <c r="AU147" s="193"/>
      <c r="AV147" s="140"/>
      <c r="AW147" s="118"/>
      <c r="AX147" s="141"/>
      <c r="AY147" s="149"/>
      <c r="AZ147" s="121"/>
      <c r="BA147" s="150"/>
      <c r="BB147" s="158"/>
      <c r="BC147" s="124"/>
      <c r="BD147" s="159"/>
      <c r="BE147" s="167"/>
      <c r="BF147" s="85"/>
      <c r="BG147" s="168"/>
      <c r="BH147" s="175"/>
      <c r="BI147" s="127"/>
      <c r="BJ147" s="176"/>
      <c r="BK147" s="184"/>
      <c r="BL147" s="130"/>
      <c r="BM147" s="185"/>
      <c r="BN147" s="69"/>
      <c r="BO147" s="85"/>
      <c r="BP147" s="85"/>
      <c r="BQ147" s="85"/>
      <c r="BR147" s="85"/>
      <c r="BS147" s="85"/>
      <c r="BT147" s="85"/>
      <c r="BU147" s="87"/>
      <c r="BV147" s="87"/>
      <c r="BW147" s="87"/>
      <c r="BX147" s="87"/>
      <c r="BY147" s="87"/>
      <c r="BZ147" s="87"/>
      <c r="CA147" s="90"/>
      <c r="CB147" s="90"/>
      <c r="CC147" s="90"/>
      <c r="CD147" s="90"/>
      <c r="CE147" s="90"/>
      <c r="CF147" s="90"/>
      <c r="CG147" s="85"/>
      <c r="CH147" s="85"/>
      <c r="CI147" s="85"/>
      <c r="CJ147" s="85"/>
      <c r="CK147" s="85"/>
      <c r="CL147" s="87"/>
      <c r="CM147" s="87"/>
      <c r="CN147" s="87"/>
      <c r="CO147" s="87"/>
      <c r="CP147" s="90"/>
      <c r="CQ147" s="90"/>
      <c r="CR147" s="90"/>
      <c r="CS147" s="90"/>
      <c r="CT147" s="85"/>
      <c r="CU147" s="85"/>
      <c r="CV147" s="85"/>
      <c r="CW147" s="85"/>
      <c r="CX147" s="85"/>
      <c r="CY147" s="85"/>
      <c r="CZ147" s="85"/>
      <c r="DA147" s="33">
        <f t="shared" si="1"/>
        <v>0</v>
      </c>
    </row>
    <row r="148" spans="35:105" ht="19" x14ac:dyDescent="0.25">
      <c r="AI148" s="71"/>
      <c r="AJ148" s="63"/>
      <c r="AK148" s="20"/>
      <c r="AL148" s="21"/>
      <c r="AM148" s="22"/>
      <c r="AN148" s="23"/>
      <c r="AO148" s="24"/>
      <c r="AP148" s="25"/>
      <c r="AQ148" s="26"/>
      <c r="AR148" s="27"/>
      <c r="AS148" s="192"/>
      <c r="AT148" s="111"/>
      <c r="AU148" s="193"/>
      <c r="AV148" s="140"/>
      <c r="AW148" s="118"/>
      <c r="AX148" s="141"/>
      <c r="AY148" s="149"/>
      <c r="AZ148" s="121"/>
      <c r="BA148" s="150"/>
      <c r="BB148" s="158"/>
      <c r="BC148" s="124"/>
      <c r="BD148" s="159"/>
      <c r="BE148" s="167"/>
      <c r="BF148" s="85"/>
      <c r="BG148" s="168"/>
      <c r="BH148" s="175"/>
      <c r="BI148" s="127"/>
      <c r="BJ148" s="176"/>
      <c r="BK148" s="184"/>
      <c r="BL148" s="130"/>
      <c r="BM148" s="185"/>
      <c r="BN148" s="69"/>
      <c r="BO148" s="85"/>
      <c r="BP148" s="85"/>
      <c r="BQ148" s="85"/>
      <c r="BR148" s="85"/>
      <c r="BS148" s="85"/>
      <c r="BT148" s="85"/>
      <c r="BU148" s="87"/>
      <c r="BV148" s="87"/>
      <c r="BW148" s="87"/>
      <c r="BX148" s="87"/>
      <c r="BY148" s="87"/>
      <c r="BZ148" s="87"/>
      <c r="CA148" s="90"/>
      <c r="CB148" s="90"/>
      <c r="CC148" s="90"/>
      <c r="CD148" s="90"/>
      <c r="CE148" s="90"/>
      <c r="CF148" s="90"/>
      <c r="CG148" s="85"/>
      <c r="CH148" s="85"/>
      <c r="CI148" s="85"/>
      <c r="CJ148" s="85"/>
      <c r="CK148" s="85"/>
      <c r="CL148" s="87"/>
      <c r="CM148" s="87"/>
      <c r="CN148" s="87"/>
      <c r="CO148" s="87"/>
      <c r="CP148" s="90"/>
      <c r="CQ148" s="90"/>
      <c r="CR148" s="90"/>
      <c r="CS148" s="90"/>
      <c r="CT148" s="85"/>
      <c r="CU148" s="85"/>
      <c r="CV148" s="85"/>
      <c r="CW148" s="85"/>
      <c r="CX148" s="85"/>
      <c r="CY148" s="85"/>
      <c r="CZ148" s="85"/>
      <c r="DA148" s="33">
        <f t="shared" si="1"/>
        <v>0</v>
      </c>
    </row>
    <row r="149" spans="35:105" ht="19" x14ac:dyDescent="0.25">
      <c r="AI149" s="71"/>
      <c r="AJ149" s="63"/>
      <c r="AK149" s="20"/>
      <c r="AL149" s="21"/>
      <c r="AM149" s="22"/>
      <c r="AN149" s="23"/>
      <c r="AO149" s="24"/>
      <c r="AP149" s="25"/>
      <c r="AQ149" s="26"/>
      <c r="AR149" s="27"/>
      <c r="AS149" s="192"/>
      <c r="AT149" s="111"/>
      <c r="AU149" s="193"/>
      <c r="AV149" s="140"/>
      <c r="AW149" s="118"/>
      <c r="AX149" s="141"/>
      <c r="AY149" s="149"/>
      <c r="AZ149" s="121"/>
      <c r="BA149" s="150"/>
      <c r="BB149" s="158"/>
      <c r="BC149" s="124"/>
      <c r="BD149" s="159"/>
      <c r="BE149" s="167"/>
      <c r="BF149" s="85"/>
      <c r="BG149" s="168"/>
      <c r="BH149" s="175"/>
      <c r="BI149" s="127"/>
      <c r="BJ149" s="176"/>
      <c r="BK149" s="184"/>
      <c r="BL149" s="130"/>
      <c r="BM149" s="185"/>
      <c r="BN149" s="69"/>
      <c r="BO149" s="85"/>
      <c r="BP149" s="85"/>
      <c r="BQ149" s="85"/>
      <c r="BR149" s="85"/>
      <c r="BS149" s="85"/>
      <c r="BT149" s="85"/>
      <c r="BU149" s="87"/>
      <c r="BV149" s="87"/>
      <c r="BW149" s="87"/>
      <c r="BX149" s="87"/>
      <c r="BY149" s="87"/>
      <c r="BZ149" s="87"/>
      <c r="CA149" s="90"/>
      <c r="CB149" s="90"/>
      <c r="CC149" s="90"/>
      <c r="CD149" s="90"/>
      <c r="CE149" s="90"/>
      <c r="CF149" s="90"/>
      <c r="CG149" s="85"/>
      <c r="CH149" s="85"/>
      <c r="CI149" s="85"/>
      <c r="CJ149" s="85"/>
      <c r="CK149" s="85"/>
      <c r="CL149" s="87"/>
      <c r="CM149" s="87"/>
      <c r="CN149" s="87"/>
      <c r="CO149" s="87"/>
      <c r="CP149" s="90"/>
      <c r="CQ149" s="90"/>
      <c r="CR149" s="90"/>
      <c r="CS149" s="90"/>
      <c r="CT149" s="85"/>
      <c r="CU149" s="85"/>
      <c r="CV149" s="85"/>
      <c r="CW149" s="85"/>
      <c r="CX149" s="85"/>
      <c r="CY149" s="85"/>
      <c r="CZ149" s="85"/>
      <c r="DA149" s="33">
        <f t="shared" si="1"/>
        <v>0</v>
      </c>
    </row>
    <row r="150" spans="35:105" ht="19" x14ac:dyDescent="0.25">
      <c r="AI150" s="71"/>
      <c r="AJ150" s="63"/>
      <c r="AK150" s="20"/>
      <c r="AL150" s="21"/>
      <c r="AM150" s="22"/>
      <c r="AN150" s="23"/>
      <c r="AO150" s="24"/>
      <c r="AP150" s="25"/>
      <c r="AQ150" s="26"/>
      <c r="AR150" s="27"/>
      <c r="AS150" s="192"/>
      <c r="AT150" s="111"/>
      <c r="AU150" s="193"/>
      <c r="AV150" s="140"/>
      <c r="AW150" s="118"/>
      <c r="AX150" s="141"/>
      <c r="AY150" s="149"/>
      <c r="AZ150" s="121"/>
      <c r="BA150" s="150"/>
      <c r="BB150" s="158"/>
      <c r="BC150" s="124"/>
      <c r="BD150" s="159"/>
      <c r="BE150" s="167"/>
      <c r="BF150" s="85"/>
      <c r="BG150" s="168"/>
      <c r="BH150" s="175"/>
      <c r="BI150" s="127"/>
      <c r="BJ150" s="176"/>
      <c r="BK150" s="184"/>
      <c r="BL150" s="130"/>
      <c r="BM150" s="185"/>
      <c r="BN150" s="69"/>
      <c r="BO150" s="85"/>
      <c r="BP150" s="85"/>
      <c r="BQ150" s="85"/>
      <c r="BR150" s="85"/>
      <c r="BS150" s="85"/>
      <c r="BT150" s="85"/>
      <c r="BU150" s="87"/>
      <c r="BV150" s="87"/>
      <c r="BW150" s="87"/>
      <c r="BX150" s="87"/>
      <c r="BY150" s="87"/>
      <c r="BZ150" s="87"/>
      <c r="CA150" s="90"/>
      <c r="CB150" s="90"/>
      <c r="CC150" s="90"/>
      <c r="CD150" s="90"/>
      <c r="CE150" s="90"/>
      <c r="CF150" s="90"/>
      <c r="CG150" s="85"/>
      <c r="CH150" s="85"/>
      <c r="CI150" s="85"/>
      <c r="CJ150" s="85"/>
      <c r="CK150" s="85"/>
      <c r="CL150" s="87"/>
      <c r="CM150" s="87"/>
      <c r="CN150" s="87"/>
      <c r="CO150" s="87"/>
      <c r="CP150" s="90"/>
      <c r="CQ150" s="90"/>
      <c r="CR150" s="90"/>
      <c r="CS150" s="90"/>
      <c r="CT150" s="85"/>
      <c r="CU150" s="85"/>
      <c r="CV150" s="85"/>
      <c r="CW150" s="85"/>
      <c r="CX150" s="85"/>
      <c r="CY150" s="85"/>
      <c r="CZ150" s="85"/>
      <c r="DA150" s="33">
        <f t="shared" si="1"/>
        <v>0</v>
      </c>
    </row>
    <row r="151" spans="35:105" ht="19" x14ac:dyDescent="0.25">
      <c r="AI151" s="71"/>
      <c r="AJ151" s="63"/>
      <c r="AK151" s="20"/>
      <c r="AL151" s="21"/>
      <c r="AM151" s="22"/>
      <c r="AN151" s="23"/>
      <c r="AO151" s="24"/>
      <c r="AP151" s="25"/>
      <c r="AQ151" s="26"/>
      <c r="AR151" s="27"/>
      <c r="AS151" s="192"/>
      <c r="AT151" s="111"/>
      <c r="AU151" s="193"/>
      <c r="AV151" s="140"/>
      <c r="AW151" s="118"/>
      <c r="AX151" s="141"/>
      <c r="AY151" s="149"/>
      <c r="AZ151" s="121"/>
      <c r="BA151" s="150"/>
      <c r="BB151" s="158"/>
      <c r="BC151" s="124"/>
      <c r="BD151" s="159"/>
      <c r="BE151" s="167"/>
      <c r="BF151" s="85"/>
      <c r="BG151" s="168"/>
      <c r="BH151" s="175"/>
      <c r="BI151" s="127"/>
      <c r="BJ151" s="176"/>
      <c r="BK151" s="184"/>
      <c r="BL151" s="130"/>
      <c r="BM151" s="185"/>
      <c r="BN151" s="69"/>
      <c r="BO151" s="85"/>
      <c r="BP151" s="85"/>
      <c r="BQ151" s="85"/>
      <c r="BR151" s="85"/>
      <c r="BS151" s="85"/>
      <c r="BT151" s="85"/>
      <c r="BU151" s="87"/>
      <c r="BV151" s="87"/>
      <c r="BW151" s="87"/>
      <c r="BX151" s="87"/>
      <c r="BY151" s="87"/>
      <c r="BZ151" s="87"/>
      <c r="CA151" s="90"/>
      <c r="CB151" s="90"/>
      <c r="CC151" s="90"/>
      <c r="CD151" s="90"/>
      <c r="CE151" s="90"/>
      <c r="CF151" s="90"/>
      <c r="CG151" s="85"/>
      <c r="CH151" s="85"/>
      <c r="CI151" s="85"/>
      <c r="CJ151" s="85"/>
      <c r="CK151" s="85"/>
      <c r="CL151" s="87"/>
      <c r="CM151" s="87"/>
      <c r="CN151" s="87"/>
      <c r="CO151" s="87"/>
      <c r="CP151" s="90"/>
      <c r="CQ151" s="90"/>
      <c r="CR151" s="90"/>
      <c r="CS151" s="90"/>
      <c r="CT151" s="85"/>
      <c r="CU151" s="85"/>
      <c r="CV151" s="85"/>
      <c r="CW151" s="85"/>
      <c r="CX151" s="85"/>
      <c r="CY151" s="85"/>
      <c r="CZ151" s="85"/>
      <c r="DA151" s="33">
        <f t="shared" si="1"/>
        <v>0</v>
      </c>
    </row>
    <row r="152" spans="35:105" ht="19" x14ac:dyDescent="0.25">
      <c r="AI152" s="71"/>
      <c r="AJ152" s="63"/>
      <c r="AK152" s="20"/>
      <c r="AL152" s="21"/>
      <c r="AM152" s="22"/>
      <c r="AN152" s="23"/>
      <c r="AO152" s="24"/>
      <c r="AP152" s="25"/>
      <c r="AQ152" s="26"/>
      <c r="AR152" s="27"/>
      <c r="AS152" s="192"/>
      <c r="AT152" s="111"/>
      <c r="AU152" s="193"/>
      <c r="AV152" s="140"/>
      <c r="AW152" s="118"/>
      <c r="AX152" s="141"/>
      <c r="AY152" s="149"/>
      <c r="AZ152" s="121"/>
      <c r="BA152" s="150"/>
      <c r="BB152" s="158"/>
      <c r="BC152" s="124"/>
      <c r="BD152" s="159"/>
      <c r="BE152" s="167"/>
      <c r="BF152" s="85"/>
      <c r="BG152" s="168"/>
      <c r="BH152" s="175"/>
      <c r="BI152" s="127"/>
      <c r="BJ152" s="176"/>
      <c r="BK152" s="184"/>
      <c r="BL152" s="130"/>
      <c r="BM152" s="185"/>
      <c r="BN152" s="69"/>
      <c r="BO152" s="85"/>
      <c r="BP152" s="85"/>
      <c r="BQ152" s="85"/>
      <c r="BR152" s="85"/>
      <c r="BS152" s="85"/>
      <c r="BT152" s="85"/>
      <c r="BU152" s="87"/>
      <c r="BV152" s="87"/>
      <c r="BW152" s="87"/>
      <c r="BX152" s="87"/>
      <c r="BY152" s="87"/>
      <c r="BZ152" s="87"/>
      <c r="CA152" s="90"/>
      <c r="CB152" s="90"/>
      <c r="CC152" s="90"/>
      <c r="CD152" s="90"/>
      <c r="CE152" s="90"/>
      <c r="CF152" s="90"/>
      <c r="CG152" s="85"/>
      <c r="CH152" s="85"/>
      <c r="CI152" s="85"/>
      <c r="CJ152" s="85"/>
      <c r="CK152" s="85"/>
      <c r="CL152" s="87"/>
      <c r="CM152" s="87"/>
      <c r="CN152" s="87"/>
      <c r="CO152" s="87"/>
      <c r="CP152" s="90"/>
      <c r="CQ152" s="90"/>
      <c r="CR152" s="90"/>
      <c r="CS152" s="90"/>
      <c r="CT152" s="85"/>
      <c r="CU152" s="85"/>
      <c r="CV152" s="85"/>
      <c r="CW152" s="85"/>
      <c r="CX152" s="85"/>
      <c r="CY152" s="85"/>
      <c r="CZ152" s="85"/>
      <c r="DA152" s="33">
        <f t="shared" si="1"/>
        <v>0</v>
      </c>
    </row>
    <row r="153" spans="35:105" ht="19" x14ac:dyDescent="0.25">
      <c r="AI153" s="71"/>
      <c r="AJ153" s="63"/>
      <c r="AK153" s="20"/>
      <c r="AL153" s="21"/>
      <c r="AM153" s="22"/>
      <c r="AN153" s="23"/>
      <c r="AO153" s="24"/>
      <c r="AP153" s="25"/>
      <c r="AQ153" s="26"/>
      <c r="AR153" s="27"/>
      <c r="AS153" s="192"/>
      <c r="AT153" s="111"/>
      <c r="AU153" s="193"/>
      <c r="AV153" s="140"/>
      <c r="AW153" s="118"/>
      <c r="AX153" s="141"/>
      <c r="AY153" s="149"/>
      <c r="AZ153" s="121"/>
      <c r="BA153" s="150"/>
      <c r="BB153" s="158"/>
      <c r="BC153" s="124"/>
      <c r="BD153" s="159"/>
      <c r="BE153" s="167"/>
      <c r="BF153" s="85"/>
      <c r="BG153" s="168"/>
      <c r="BH153" s="175"/>
      <c r="BI153" s="127"/>
      <c r="BJ153" s="176"/>
      <c r="BK153" s="184"/>
      <c r="BL153" s="130"/>
      <c r="BM153" s="185"/>
      <c r="BN153" s="69"/>
      <c r="BO153" s="85"/>
      <c r="BP153" s="85"/>
      <c r="BQ153" s="85"/>
      <c r="BR153" s="85"/>
      <c r="BS153" s="85"/>
      <c r="BT153" s="85"/>
      <c r="BU153" s="87"/>
      <c r="BV153" s="87"/>
      <c r="BW153" s="87"/>
      <c r="BX153" s="87"/>
      <c r="BY153" s="87"/>
      <c r="BZ153" s="87"/>
      <c r="CA153" s="90"/>
      <c r="CB153" s="90"/>
      <c r="CC153" s="90"/>
      <c r="CD153" s="90"/>
      <c r="CE153" s="90"/>
      <c r="CF153" s="90"/>
      <c r="CG153" s="85"/>
      <c r="CH153" s="85"/>
      <c r="CI153" s="85"/>
      <c r="CJ153" s="85"/>
      <c r="CK153" s="85"/>
      <c r="CL153" s="87"/>
      <c r="CM153" s="87"/>
      <c r="CN153" s="87"/>
      <c r="CO153" s="87"/>
      <c r="CP153" s="90"/>
      <c r="CQ153" s="90"/>
      <c r="CR153" s="90"/>
      <c r="CS153" s="90"/>
      <c r="CT153" s="85"/>
      <c r="CU153" s="85"/>
      <c r="CV153" s="85"/>
      <c r="CW153" s="85"/>
      <c r="CX153" s="85"/>
      <c r="CY153" s="85"/>
      <c r="CZ153" s="85"/>
      <c r="DA153" s="33">
        <f t="shared" si="1"/>
        <v>0</v>
      </c>
    </row>
    <row r="154" spans="35:105" ht="19" x14ac:dyDescent="0.25">
      <c r="AI154" s="71"/>
      <c r="AJ154" s="63"/>
      <c r="AK154" s="20"/>
      <c r="AL154" s="21"/>
      <c r="AM154" s="22"/>
      <c r="AN154" s="23"/>
      <c r="AO154" s="24"/>
      <c r="AP154" s="25"/>
      <c r="AQ154" s="26"/>
      <c r="AR154" s="27"/>
      <c r="AS154" s="192"/>
      <c r="AT154" s="111"/>
      <c r="AU154" s="193"/>
      <c r="AV154" s="140"/>
      <c r="AW154" s="118"/>
      <c r="AX154" s="141"/>
      <c r="AY154" s="149"/>
      <c r="AZ154" s="121"/>
      <c r="BA154" s="150"/>
      <c r="BB154" s="158"/>
      <c r="BC154" s="124"/>
      <c r="BD154" s="159"/>
      <c r="BE154" s="167"/>
      <c r="BF154" s="85"/>
      <c r="BG154" s="168"/>
      <c r="BH154" s="175"/>
      <c r="BI154" s="127"/>
      <c r="BJ154" s="176"/>
      <c r="BK154" s="184"/>
      <c r="BL154" s="130"/>
      <c r="BM154" s="185"/>
      <c r="BN154" s="69"/>
      <c r="BO154" s="85"/>
      <c r="BP154" s="85"/>
      <c r="BQ154" s="85"/>
      <c r="BR154" s="85"/>
      <c r="BS154" s="85"/>
      <c r="BT154" s="85"/>
      <c r="BU154" s="87"/>
      <c r="BV154" s="87"/>
      <c r="BW154" s="87"/>
      <c r="BX154" s="87"/>
      <c r="BY154" s="87"/>
      <c r="BZ154" s="87"/>
      <c r="CA154" s="90"/>
      <c r="CB154" s="90"/>
      <c r="CC154" s="90"/>
      <c r="CD154" s="90"/>
      <c r="CE154" s="90"/>
      <c r="CF154" s="90"/>
      <c r="CG154" s="85"/>
      <c r="CH154" s="85"/>
      <c r="CI154" s="85"/>
      <c r="CJ154" s="85"/>
      <c r="CK154" s="85"/>
      <c r="CL154" s="87"/>
      <c r="CM154" s="87"/>
      <c r="CN154" s="87"/>
      <c r="CO154" s="87"/>
      <c r="CP154" s="90"/>
      <c r="CQ154" s="90"/>
      <c r="CR154" s="90"/>
      <c r="CS154" s="90"/>
      <c r="CT154" s="85"/>
      <c r="CU154" s="85"/>
      <c r="CV154" s="85"/>
      <c r="CW154" s="85"/>
      <c r="CX154" s="85"/>
      <c r="CY154" s="85"/>
      <c r="CZ154" s="85"/>
      <c r="DA154" s="33">
        <f t="shared" si="1"/>
        <v>0</v>
      </c>
    </row>
    <row r="155" spans="35:105" ht="19" x14ac:dyDescent="0.25">
      <c r="AI155" s="71"/>
      <c r="AJ155" s="63"/>
      <c r="AK155" s="20"/>
      <c r="AL155" s="21"/>
      <c r="AM155" s="22"/>
      <c r="AN155" s="23"/>
      <c r="AO155" s="24"/>
      <c r="AP155" s="25"/>
      <c r="AQ155" s="26"/>
      <c r="AR155" s="27"/>
      <c r="AS155" s="192"/>
      <c r="AT155" s="111"/>
      <c r="AU155" s="193"/>
      <c r="AV155" s="140"/>
      <c r="AW155" s="118"/>
      <c r="AX155" s="141"/>
      <c r="AY155" s="149"/>
      <c r="AZ155" s="121"/>
      <c r="BA155" s="150"/>
      <c r="BB155" s="158"/>
      <c r="BC155" s="124"/>
      <c r="BD155" s="159"/>
      <c r="BE155" s="167"/>
      <c r="BF155" s="85"/>
      <c r="BG155" s="168"/>
      <c r="BH155" s="175"/>
      <c r="BI155" s="127"/>
      <c r="BJ155" s="176"/>
      <c r="BK155" s="184"/>
      <c r="BL155" s="130"/>
      <c r="BM155" s="185"/>
      <c r="BN155" s="69"/>
      <c r="BO155" s="85"/>
      <c r="BP155" s="85"/>
      <c r="BQ155" s="85"/>
      <c r="BR155" s="85"/>
      <c r="BS155" s="85"/>
      <c r="BT155" s="85"/>
      <c r="BU155" s="87"/>
      <c r="BV155" s="87"/>
      <c r="BW155" s="87"/>
      <c r="BX155" s="87"/>
      <c r="BY155" s="87"/>
      <c r="BZ155" s="87"/>
      <c r="CA155" s="90"/>
      <c r="CB155" s="90"/>
      <c r="CC155" s="90"/>
      <c r="CD155" s="90"/>
      <c r="CE155" s="90"/>
      <c r="CF155" s="90"/>
      <c r="CG155" s="85"/>
      <c r="CH155" s="85"/>
      <c r="CI155" s="85"/>
      <c r="CJ155" s="85"/>
      <c r="CK155" s="85"/>
      <c r="CL155" s="87"/>
      <c r="CM155" s="87"/>
      <c r="CN155" s="87"/>
      <c r="CO155" s="87"/>
      <c r="CP155" s="90"/>
      <c r="CQ155" s="90"/>
      <c r="CR155" s="90"/>
      <c r="CS155" s="90"/>
      <c r="CT155" s="85"/>
      <c r="CU155" s="85"/>
      <c r="CV155" s="85"/>
      <c r="CW155" s="85"/>
      <c r="CX155" s="85"/>
      <c r="CY155" s="85"/>
      <c r="CZ155" s="85"/>
      <c r="DA155" s="33">
        <f t="shared" si="1"/>
        <v>0</v>
      </c>
    </row>
    <row r="156" spans="35:105" ht="19" x14ac:dyDescent="0.25">
      <c r="AI156" s="71"/>
      <c r="AJ156" s="63"/>
      <c r="AK156" s="20"/>
      <c r="AL156" s="21"/>
      <c r="AM156" s="22"/>
      <c r="AN156" s="23"/>
      <c r="AO156" s="24"/>
      <c r="AP156" s="25"/>
      <c r="AQ156" s="26"/>
      <c r="AR156" s="27"/>
      <c r="AS156" s="192"/>
      <c r="AT156" s="111"/>
      <c r="AU156" s="193"/>
      <c r="AV156" s="140"/>
      <c r="AW156" s="118"/>
      <c r="AX156" s="141"/>
      <c r="AY156" s="149"/>
      <c r="AZ156" s="121"/>
      <c r="BA156" s="150"/>
      <c r="BB156" s="158"/>
      <c r="BC156" s="124"/>
      <c r="BD156" s="159"/>
      <c r="BE156" s="167"/>
      <c r="BF156" s="85"/>
      <c r="BG156" s="168"/>
      <c r="BH156" s="175"/>
      <c r="BI156" s="127"/>
      <c r="BJ156" s="176"/>
      <c r="BK156" s="184"/>
      <c r="BL156" s="130"/>
      <c r="BM156" s="185"/>
      <c r="BN156" s="69"/>
      <c r="BO156" s="85"/>
      <c r="BP156" s="85"/>
      <c r="BQ156" s="85"/>
      <c r="BR156" s="85"/>
      <c r="BS156" s="85"/>
      <c r="BT156" s="85"/>
      <c r="BU156" s="87"/>
      <c r="BV156" s="87"/>
      <c r="BW156" s="87"/>
      <c r="BX156" s="87"/>
      <c r="BY156" s="87"/>
      <c r="BZ156" s="87"/>
      <c r="CA156" s="90"/>
      <c r="CB156" s="90"/>
      <c r="CC156" s="90"/>
      <c r="CD156" s="90"/>
      <c r="CE156" s="90"/>
      <c r="CF156" s="90"/>
      <c r="CG156" s="85"/>
      <c r="CH156" s="85"/>
      <c r="CI156" s="85"/>
      <c r="CJ156" s="85"/>
      <c r="CK156" s="85"/>
      <c r="CL156" s="87"/>
      <c r="CM156" s="87"/>
      <c r="CN156" s="87"/>
      <c r="CO156" s="87"/>
      <c r="CP156" s="90"/>
      <c r="CQ156" s="90"/>
      <c r="CR156" s="90"/>
      <c r="CS156" s="90"/>
      <c r="CT156" s="85"/>
      <c r="CU156" s="85"/>
      <c r="CV156" s="85"/>
      <c r="CW156" s="85"/>
      <c r="CX156" s="85"/>
      <c r="CY156" s="85"/>
      <c r="CZ156" s="85"/>
      <c r="DA156" s="33">
        <f t="shared" si="1"/>
        <v>0</v>
      </c>
    </row>
    <row r="157" spans="35:105" ht="19" x14ac:dyDescent="0.25">
      <c r="AI157" s="71"/>
      <c r="AJ157" s="63"/>
      <c r="AK157" s="20"/>
      <c r="AL157" s="21"/>
      <c r="AM157" s="22"/>
      <c r="AN157" s="23"/>
      <c r="AO157" s="24"/>
      <c r="AP157" s="25"/>
      <c r="AQ157" s="26"/>
      <c r="AR157" s="27"/>
      <c r="AS157" s="192"/>
      <c r="AT157" s="111"/>
      <c r="AU157" s="193"/>
      <c r="AV157" s="140"/>
      <c r="AW157" s="118"/>
      <c r="AX157" s="141"/>
      <c r="AY157" s="149"/>
      <c r="AZ157" s="121"/>
      <c r="BA157" s="150"/>
      <c r="BB157" s="158"/>
      <c r="BC157" s="124"/>
      <c r="BD157" s="159"/>
      <c r="BE157" s="167"/>
      <c r="BF157" s="85"/>
      <c r="BG157" s="168"/>
      <c r="BH157" s="175"/>
      <c r="BI157" s="127"/>
      <c r="BJ157" s="176"/>
      <c r="BK157" s="184"/>
      <c r="BL157" s="130"/>
      <c r="BM157" s="185"/>
      <c r="BN157" s="69"/>
      <c r="BO157" s="85"/>
      <c r="BP157" s="85"/>
      <c r="BQ157" s="85"/>
      <c r="BR157" s="85"/>
      <c r="BS157" s="85"/>
      <c r="BT157" s="85"/>
      <c r="BU157" s="87"/>
      <c r="BV157" s="87"/>
      <c r="BW157" s="87"/>
      <c r="BX157" s="87"/>
      <c r="BY157" s="87"/>
      <c r="BZ157" s="87"/>
      <c r="CA157" s="90"/>
      <c r="CB157" s="90"/>
      <c r="CC157" s="90"/>
      <c r="CD157" s="90"/>
      <c r="CE157" s="90"/>
      <c r="CF157" s="90"/>
      <c r="CG157" s="85"/>
      <c r="CH157" s="85"/>
      <c r="CI157" s="85"/>
      <c r="CJ157" s="85"/>
      <c r="CK157" s="85"/>
      <c r="CL157" s="87"/>
      <c r="CM157" s="87"/>
      <c r="CN157" s="87"/>
      <c r="CO157" s="87"/>
      <c r="CP157" s="90"/>
      <c r="CQ157" s="90"/>
      <c r="CR157" s="90"/>
      <c r="CS157" s="90"/>
      <c r="CT157" s="85"/>
      <c r="CU157" s="85"/>
      <c r="CV157" s="85"/>
      <c r="CW157" s="85"/>
      <c r="CX157" s="85"/>
      <c r="CY157" s="85"/>
      <c r="CZ157" s="85"/>
      <c r="DA157" s="33">
        <f t="shared" si="1"/>
        <v>0</v>
      </c>
    </row>
    <row r="158" spans="35:105" ht="19" x14ac:dyDescent="0.25">
      <c r="AI158" s="71"/>
      <c r="AJ158" s="63"/>
      <c r="AK158" s="20"/>
      <c r="AL158" s="21"/>
      <c r="AM158" s="22"/>
      <c r="AN158" s="23"/>
      <c r="AO158" s="24"/>
      <c r="AP158" s="25"/>
      <c r="AQ158" s="26"/>
      <c r="AR158" s="27"/>
      <c r="AS158" s="192"/>
      <c r="AT158" s="111"/>
      <c r="AU158" s="193"/>
      <c r="AV158" s="140"/>
      <c r="AW158" s="118"/>
      <c r="AX158" s="141"/>
      <c r="AY158" s="149"/>
      <c r="AZ158" s="121"/>
      <c r="BA158" s="150"/>
      <c r="BB158" s="158"/>
      <c r="BC158" s="124"/>
      <c r="BD158" s="159"/>
      <c r="BE158" s="167"/>
      <c r="BF158" s="85"/>
      <c r="BG158" s="168"/>
      <c r="BH158" s="175"/>
      <c r="BI158" s="127"/>
      <c r="BJ158" s="176"/>
      <c r="BK158" s="184"/>
      <c r="BL158" s="130"/>
      <c r="BM158" s="185"/>
      <c r="BN158" s="69"/>
      <c r="BO158" s="85"/>
      <c r="BP158" s="85"/>
      <c r="BQ158" s="85"/>
      <c r="BR158" s="85"/>
      <c r="BS158" s="85"/>
      <c r="BT158" s="85"/>
      <c r="BU158" s="87"/>
      <c r="BV158" s="87"/>
      <c r="BW158" s="87"/>
      <c r="BX158" s="87"/>
      <c r="BY158" s="87"/>
      <c r="BZ158" s="87"/>
      <c r="CA158" s="90"/>
      <c r="CB158" s="90"/>
      <c r="CC158" s="90"/>
      <c r="CD158" s="90"/>
      <c r="CE158" s="90"/>
      <c r="CF158" s="90"/>
      <c r="CG158" s="85"/>
      <c r="CH158" s="85"/>
      <c r="CI158" s="85"/>
      <c r="CJ158" s="85"/>
      <c r="CK158" s="85"/>
      <c r="CL158" s="87"/>
      <c r="CM158" s="87"/>
      <c r="CN158" s="87"/>
      <c r="CO158" s="87"/>
      <c r="CP158" s="90"/>
      <c r="CQ158" s="90"/>
      <c r="CR158" s="90"/>
      <c r="CS158" s="90"/>
      <c r="CT158" s="85"/>
      <c r="CU158" s="85"/>
      <c r="CV158" s="85"/>
      <c r="CW158" s="85"/>
      <c r="CX158" s="85"/>
      <c r="CY158" s="85"/>
      <c r="CZ158" s="85"/>
      <c r="DA158" s="33">
        <f t="shared" si="1"/>
        <v>0</v>
      </c>
    </row>
    <row r="159" spans="35:105" ht="19" x14ac:dyDescent="0.25">
      <c r="AI159" s="71"/>
      <c r="AJ159" s="63"/>
      <c r="AK159" s="20"/>
      <c r="AL159" s="21"/>
      <c r="AM159" s="22"/>
      <c r="AN159" s="23"/>
      <c r="AO159" s="24"/>
      <c r="AP159" s="25"/>
      <c r="AQ159" s="26"/>
      <c r="AR159" s="27"/>
      <c r="AS159" s="192"/>
      <c r="AT159" s="111"/>
      <c r="AU159" s="193"/>
      <c r="AV159" s="140"/>
      <c r="AW159" s="118"/>
      <c r="AX159" s="141"/>
      <c r="AY159" s="149"/>
      <c r="AZ159" s="121"/>
      <c r="BA159" s="150"/>
      <c r="BB159" s="158"/>
      <c r="BC159" s="124"/>
      <c r="BD159" s="159"/>
      <c r="BE159" s="167"/>
      <c r="BF159" s="85"/>
      <c r="BG159" s="168"/>
      <c r="BH159" s="175"/>
      <c r="BI159" s="127"/>
      <c r="BJ159" s="176"/>
      <c r="BK159" s="184"/>
      <c r="BL159" s="130"/>
      <c r="BM159" s="185"/>
      <c r="BN159" s="69"/>
      <c r="BO159" s="85"/>
      <c r="BP159" s="85"/>
      <c r="BQ159" s="85"/>
      <c r="BR159" s="85"/>
      <c r="BS159" s="85"/>
      <c r="BT159" s="85"/>
      <c r="BU159" s="87"/>
      <c r="BV159" s="87"/>
      <c r="BW159" s="87"/>
      <c r="BX159" s="87"/>
      <c r="BY159" s="87"/>
      <c r="BZ159" s="87"/>
      <c r="CA159" s="90"/>
      <c r="CB159" s="90"/>
      <c r="CC159" s="90"/>
      <c r="CD159" s="90"/>
      <c r="CE159" s="90"/>
      <c r="CF159" s="90"/>
      <c r="CG159" s="85"/>
      <c r="CH159" s="85"/>
      <c r="CI159" s="85"/>
      <c r="CJ159" s="85"/>
      <c r="CK159" s="85"/>
      <c r="CL159" s="87"/>
      <c r="CM159" s="87"/>
      <c r="CN159" s="87"/>
      <c r="CO159" s="87"/>
      <c r="CP159" s="90"/>
      <c r="CQ159" s="90"/>
      <c r="CR159" s="90"/>
      <c r="CS159" s="90"/>
      <c r="CT159" s="85"/>
      <c r="CU159" s="85"/>
      <c r="CV159" s="85"/>
      <c r="CW159" s="85"/>
      <c r="CX159" s="85"/>
      <c r="CY159" s="85"/>
      <c r="CZ159" s="85"/>
      <c r="DA159" s="33">
        <f t="shared" si="1"/>
        <v>0</v>
      </c>
    </row>
    <row r="160" spans="35:105" ht="19" x14ac:dyDescent="0.25">
      <c r="AI160" s="71"/>
      <c r="AJ160" s="63"/>
      <c r="AK160" s="20"/>
      <c r="AL160" s="21"/>
      <c r="AM160" s="22"/>
      <c r="AN160" s="23"/>
      <c r="AO160" s="24"/>
      <c r="AP160" s="25"/>
      <c r="AQ160" s="26"/>
      <c r="AR160" s="27"/>
      <c r="AS160" s="192"/>
      <c r="AT160" s="111"/>
      <c r="AU160" s="193"/>
      <c r="AV160" s="140"/>
      <c r="AW160" s="118"/>
      <c r="AX160" s="141"/>
      <c r="AY160" s="149"/>
      <c r="AZ160" s="121"/>
      <c r="BA160" s="150"/>
      <c r="BB160" s="158"/>
      <c r="BC160" s="124"/>
      <c r="BD160" s="159"/>
      <c r="BE160" s="167"/>
      <c r="BF160" s="85"/>
      <c r="BG160" s="168"/>
      <c r="BH160" s="175"/>
      <c r="BI160" s="127"/>
      <c r="BJ160" s="176"/>
      <c r="BK160" s="184"/>
      <c r="BL160" s="130"/>
      <c r="BM160" s="185"/>
      <c r="BN160" s="69"/>
      <c r="BO160" s="85"/>
      <c r="BP160" s="85"/>
      <c r="BQ160" s="85"/>
      <c r="BR160" s="85"/>
      <c r="BS160" s="85"/>
      <c r="BT160" s="85"/>
      <c r="BU160" s="87"/>
      <c r="BV160" s="87"/>
      <c r="BW160" s="87"/>
      <c r="BX160" s="87"/>
      <c r="BY160" s="87"/>
      <c r="BZ160" s="87"/>
      <c r="CA160" s="90"/>
      <c r="CB160" s="90"/>
      <c r="CC160" s="90"/>
      <c r="CD160" s="90"/>
      <c r="CE160" s="90"/>
      <c r="CF160" s="90"/>
      <c r="CG160" s="85"/>
      <c r="CH160" s="85"/>
      <c r="CI160" s="85"/>
      <c r="CJ160" s="85"/>
      <c r="CK160" s="85"/>
      <c r="CL160" s="87"/>
      <c r="CM160" s="87"/>
      <c r="CN160" s="87"/>
      <c r="CO160" s="87"/>
      <c r="CP160" s="90"/>
      <c r="CQ160" s="90"/>
      <c r="CR160" s="90"/>
      <c r="CS160" s="90"/>
      <c r="CT160" s="85"/>
      <c r="CU160" s="85"/>
      <c r="CV160" s="85"/>
      <c r="CW160" s="85"/>
      <c r="CX160" s="85"/>
      <c r="CY160" s="85"/>
      <c r="CZ160" s="85"/>
      <c r="DA160" s="33">
        <f t="shared" si="1"/>
        <v>0</v>
      </c>
    </row>
    <row r="161" spans="35:105" ht="19" x14ac:dyDescent="0.25">
      <c r="AI161" s="71"/>
      <c r="AJ161" s="63"/>
      <c r="AK161" s="20"/>
      <c r="AL161" s="21"/>
      <c r="AM161" s="22"/>
      <c r="AN161" s="23"/>
      <c r="AO161" s="24"/>
      <c r="AP161" s="25"/>
      <c r="AQ161" s="26"/>
      <c r="AR161" s="27"/>
      <c r="AS161" s="192"/>
      <c r="AT161" s="111"/>
      <c r="AU161" s="193"/>
      <c r="AV161" s="140"/>
      <c r="AW161" s="118"/>
      <c r="AX161" s="141"/>
      <c r="AY161" s="149"/>
      <c r="AZ161" s="121"/>
      <c r="BA161" s="150"/>
      <c r="BB161" s="158"/>
      <c r="BC161" s="124"/>
      <c r="BD161" s="159"/>
      <c r="BE161" s="167"/>
      <c r="BF161" s="85"/>
      <c r="BG161" s="168"/>
      <c r="BH161" s="175"/>
      <c r="BI161" s="127"/>
      <c r="BJ161" s="176"/>
      <c r="BK161" s="184"/>
      <c r="BL161" s="130"/>
      <c r="BM161" s="185"/>
      <c r="BN161" s="69"/>
      <c r="BO161" s="85"/>
      <c r="BP161" s="85"/>
      <c r="BQ161" s="85"/>
      <c r="BR161" s="85"/>
      <c r="BS161" s="85"/>
      <c r="BT161" s="85"/>
      <c r="BU161" s="87"/>
      <c r="BV161" s="87"/>
      <c r="BW161" s="87"/>
      <c r="BX161" s="87"/>
      <c r="BY161" s="87"/>
      <c r="BZ161" s="87"/>
      <c r="CA161" s="90"/>
      <c r="CB161" s="90"/>
      <c r="CC161" s="90"/>
      <c r="CD161" s="90"/>
      <c r="CE161" s="90"/>
      <c r="CF161" s="90"/>
      <c r="CG161" s="85"/>
      <c r="CH161" s="85"/>
      <c r="CI161" s="85"/>
      <c r="CJ161" s="85"/>
      <c r="CK161" s="85"/>
      <c r="CL161" s="87"/>
      <c r="CM161" s="87"/>
      <c r="CN161" s="87"/>
      <c r="CO161" s="87"/>
      <c r="CP161" s="90"/>
      <c r="CQ161" s="90"/>
      <c r="CR161" s="90"/>
      <c r="CS161" s="90"/>
      <c r="CT161" s="85"/>
      <c r="CU161" s="85"/>
      <c r="CV161" s="85"/>
      <c r="CW161" s="85"/>
      <c r="CX161" s="85"/>
      <c r="CY161" s="85"/>
      <c r="CZ161" s="85"/>
      <c r="DA161" s="33">
        <f t="shared" si="1"/>
        <v>0</v>
      </c>
    </row>
    <row r="162" spans="35:105" ht="19" x14ac:dyDescent="0.25">
      <c r="AI162" s="71"/>
      <c r="AJ162" s="63"/>
      <c r="AK162" s="20"/>
      <c r="AL162" s="21"/>
      <c r="AM162" s="22"/>
      <c r="AN162" s="23"/>
      <c r="AO162" s="24"/>
      <c r="AP162" s="25"/>
      <c r="AQ162" s="26"/>
      <c r="AR162" s="27"/>
      <c r="AS162" s="192"/>
      <c r="AT162" s="111"/>
      <c r="AU162" s="193"/>
      <c r="AV162" s="140"/>
      <c r="AW162" s="118"/>
      <c r="AX162" s="141"/>
      <c r="AY162" s="149"/>
      <c r="AZ162" s="121"/>
      <c r="BA162" s="150"/>
      <c r="BB162" s="158"/>
      <c r="BC162" s="124"/>
      <c r="BD162" s="159"/>
      <c r="BE162" s="167"/>
      <c r="BF162" s="85"/>
      <c r="BG162" s="168"/>
      <c r="BH162" s="175"/>
      <c r="BI162" s="127"/>
      <c r="BJ162" s="176"/>
      <c r="BK162" s="184"/>
      <c r="BL162" s="130"/>
      <c r="BM162" s="185"/>
      <c r="BN162" s="69"/>
      <c r="BO162" s="85"/>
      <c r="BP162" s="85"/>
      <c r="BQ162" s="85"/>
      <c r="BR162" s="85"/>
      <c r="BS162" s="85"/>
      <c r="BT162" s="85"/>
      <c r="BU162" s="87"/>
      <c r="BV162" s="87"/>
      <c r="BW162" s="87"/>
      <c r="BX162" s="87"/>
      <c r="BY162" s="87"/>
      <c r="BZ162" s="87"/>
      <c r="CA162" s="90"/>
      <c r="CB162" s="90"/>
      <c r="CC162" s="90"/>
      <c r="CD162" s="90"/>
      <c r="CE162" s="90"/>
      <c r="CF162" s="90"/>
      <c r="CG162" s="85"/>
      <c r="CH162" s="85"/>
      <c r="CI162" s="85"/>
      <c r="CJ162" s="85"/>
      <c r="CK162" s="85"/>
      <c r="CL162" s="87"/>
      <c r="CM162" s="87"/>
      <c r="CN162" s="87"/>
      <c r="CO162" s="87"/>
      <c r="CP162" s="90"/>
      <c r="CQ162" s="90"/>
      <c r="CR162" s="90"/>
      <c r="CS162" s="90"/>
      <c r="CT162" s="85"/>
      <c r="CU162" s="85"/>
      <c r="CV162" s="85"/>
      <c r="CW162" s="85"/>
      <c r="CX162" s="85"/>
      <c r="CY162" s="85"/>
      <c r="CZ162" s="85"/>
      <c r="DA162" s="33">
        <f t="shared" si="1"/>
        <v>0</v>
      </c>
    </row>
    <row r="163" spans="35:105" ht="19" x14ac:dyDescent="0.25">
      <c r="AI163" s="71"/>
      <c r="AJ163" s="63"/>
      <c r="AK163" s="20"/>
      <c r="AL163" s="21"/>
      <c r="AM163" s="22"/>
      <c r="AN163" s="23"/>
      <c r="AO163" s="24"/>
      <c r="AP163" s="25"/>
      <c r="AQ163" s="26"/>
      <c r="AR163" s="27"/>
      <c r="AS163" s="192"/>
      <c r="AT163" s="111"/>
      <c r="AU163" s="193"/>
      <c r="AV163" s="140"/>
      <c r="AW163" s="118"/>
      <c r="AX163" s="141"/>
      <c r="AY163" s="149"/>
      <c r="AZ163" s="121"/>
      <c r="BA163" s="150"/>
      <c r="BB163" s="158"/>
      <c r="BC163" s="124"/>
      <c r="BD163" s="159"/>
      <c r="BE163" s="167"/>
      <c r="BF163" s="85"/>
      <c r="BG163" s="168"/>
      <c r="BH163" s="175"/>
      <c r="BI163" s="127"/>
      <c r="BJ163" s="176"/>
      <c r="BK163" s="184"/>
      <c r="BL163" s="130"/>
      <c r="BM163" s="185"/>
      <c r="BN163" s="69"/>
      <c r="BO163" s="85"/>
      <c r="BP163" s="85"/>
      <c r="BQ163" s="85"/>
      <c r="BR163" s="85"/>
      <c r="BS163" s="85"/>
      <c r="BT163" s="85"/>
      <c r="BU163" s="87"/>
      <c r="BV163" s="87"/>
      <c r="BW163" s="87"/>
      <c r="BX163" s="87"/>
      <c r="BY163" s="87"/>
      <c r="BZ163" s="87"/>
      <c r="CA163" s="90"/>
      <c r="CB163" s="90"/>
      <c r="CC163" s="90"/>
      <c r="CD163" s="90"/>
      <c r="CE163" s="90"/>
      <c r="CF163" s="90"/>
      <c r="CG163" s="85"/>
      <c r="CH163" s="85"/>
      <c r="CI163" s="85"/>
      <c r="CJ163" s="85"/>
      <c r="CK163" s="85"/>
      <c r="CL163" s="87"/>
      <c r="CM163" s="87"/>
      <c r="CN163" s="87"/>
      <c r="CO163" s="87"/>
      <c r="CP163" s="90"/>
      <c r="CQ163" s="90"/>
      <c r="CR163" s="90"/>
      <c r="CS163" s="90"/>
      <c r="CT163" s="85"/>
      <c r="CU163" s="85"/>
      <c r="CV163" s="85"/>
      <c r="CW163" s="85"/>
      <c r="CX163" s="85"/>
      <c r="CY163" s="85"/>
      <c r="CZ163" s="85"/>
      <c r="DA163" s="33">
        <f t="shared" si="1"/>
        <v>0</v>
      </c>
    </row>
    <row r="164" spans="35:105" ht="19" x14ac:dyDescent="0.25">
      <c r="AI164" s="71"/>
      <c r="AJ164" s="63"/>
      <c r="AK164" s="20"/>
      <c r="AL164" s="21"/>
      <c r="AM164" s="22"/>
      <c r="AN164" s="23"/>
      <c r="AO164" s="24"/>
      <c r="AP164" s="25"/>
      <c r="AQ164" s="26"/>
      <c r="AR164" s="27"/>
      <c r="AS164" s="192"/>
      <c r="AT164" s="111"/>
      <c r="AU164" s="193"/>
      <c r="AV164" s="140"/>
      <c r="AW164" s="118"/>
      <c r="AX164" s="141"/>
      <c r="AY164" s="149"/>
      <c r="AZ164" s="121"/>
      <c r="BA164" s="150"/>
      <c r="BB164" s="158"/>
      <c r="BC164" s="124"/>
      <c r="BD164" s="159"/>
      <c r="BE164" s="167"/>
      <c r="BF164" s="85"/>
      <c r="BG164" s="168"/>
      <c r="BH164" s="175"/>
      <c r="BI164" s="127"/>
      <c r="BJ164" s="176"/>
      <c r="BK164" s="184"/>
      <c r="BL164" s="130"/>
      <c r="BM164" s="185"/>
      <c r="BN164" s="69"/>
      <c r="BO164" s="85"/>
      <c r="BP164" s="85"/>
      <c r="BQ164" s="85"/>
      <c r="BR164" s="85"/>
      <c r="BS164" s="85"/>
      <c r="BT164" s="85"/>
      <c r="BU164" s="87"/>
      <c r="BV164" s="87"/>
      <c r="BW164" s="87"/>
      <c r="BX164" s="87"/>
      <c r="BY164" s="87"/>
      <c r="BZ164" s="87"/>
      <c r="CA164" s="90"/>
      <c r="CB164" s="90"/>
      <c r="CC164" s="90"/>
      <c r="CD164" s="90"/>
      <c r="CE164" s="90"/>
      <c r="CF164" s="90"/>
      <c r="CG164" s="85"/>
      <c r="CH164" s="85"/>
      <c r="CI164" s="85"/>
      <c r="CJ164" s="85"/>
      <c r="CK164" s="85"/>
      <c r="CL164" s="87"/>
      <c r="CM164" s="87"/>
      <c r="CN164" s="87"/>
      <c r="CO164" s="87"/>
      <c r="CP164" s="90"/>
      <c r="CQ164" s="90"/>
      <c r="CR164" s="90"/>
      <c r="CS164" s="90"/>
      <c r="CT164" s="85"/>
      <c r="CU164" s="85"/>
      <c r="CV164" s="85"/>
      <c r="CW164" s="85"/>
      <c r="CX164" s="85"/>
      <c r="CY164" s="85"/>
      <c r="CZ164" s="85"/>
      <c r="DA164" s="33">
        <f t="shared" si="1"/>
        <v>0</v>
      </c>
    </row>
    <row r="165" spans="35:105" ht="19" x14ac:dyDescent="0.25">
      <c r="AI165" s="71"/>
      <c r="AJ165" s="63"/>
      <c r="AK165" s="20"/>
      <c r="AL165" s="21"/>
      <c r="AM165" s="22"/>
      <c r="AN165" s="23"/>
      <c r="AO165" s="24"/>
      <c r="AP165" s="25"/>
      <c r="AQ165" s="26"/>
      <c r="AR165" s="27"/>
      <c r="AS165" s="192"/>
      <c r="AT165" s="111"/>
      <c r="AU165" s="193"/>
      <c r="AV165" s="140"/>
      <c r="AW165" s="118"/>
      <c r="AX165" s="141"/>
      <c r="AY165" s="149"/>
      <c r="AZ165" s="121"/>
      <c r="BA165" s="150"/>
      <c r="BB165" s="158"/>
      <c r="BC165" s="124"/>
      <c r="BD165" s="159"/>
      <c r="BE165" s="167"/>
      <c r="BF165" s="85"/>
      <c r="BG165" s="168"/>
      <c r="BH165" s="175"/>
      <c r="BI165" s="127"/>
      <c r="BJ165" s="176"/>
      <c r="BK165" s="184"/>
      <c r="BL165" s="130"/>
      <c r="BM165" s="185"/>
      <c r="BN165" s="69"/>
      <c r="BO165" s="85"/>
      <c r="BP165" s="85"/>
      <c r="BQ165" s="85"/>
      <c r="BR165" s="85"/>
      <c r="BS165" s="85"/>
      <c r="BT165" s="85"/>
      <c r="BU165" s="87"/>
      <c r="BV165" s="87"/>
      <c r="BW165" s="87"/>
      <c r="BX165" s="87"/>
      <c r="BY165" s="87"/>
      <c r="BZ165" s="87"/>
      <c r="CA165" s="90"/>
      <c r="CB165" s="90"/>
      <c r="CC165" s="90"/>
      <c r="CD165" s="90"/>
      <c r="CE165" s="90"/>
      <c r="CF165" s="90"/>
      <c r="CG165" s="85"/>
      <c r="CH165" s="85"/>
      <c r="CI165" s="85"/>
      <c r="CJ165" s="85"/>
      <c r="CK165" s="85"/>
      <c r="CL165" s="87"/>
      <c r="CM165" s="87"/>
      <c r="CN165" s="87"/>
      <c r="CO165" s="87"/>
      <c r="CP165" s="90"/>
      <c r="CQ165" s="90"/>
      <c r="CR165" s="90"/>
      <c r="CS165" s="90"/>
      <c r="CT165" s="85"/>
      <c r="CU165" s="85"/>
      <c r="CV165" s="85"/>
      <c r="CW165" s="85"/>
      <c r="CX165" s="85"/>
      <c r="CY165" s="85"/>
      <c r="CZ165" s="85"/>
      <c r="DA165" s="33">
        <f t="shared" si="1"/>
        <v>0</v>
      </c>
    </row>
    <row r="166" spans="35:105" ht="19" x14ac:dyDescent="0.25">
      <c r="AI166" s="71"/>
      <c r="AJ166" s="63"/>
      <c r="AK166" s="20"/>
      <c r="AL166" s="21"/>
      <c r="AM166" s="22"/>
      <c r="AN166" s="23"/>
      <c r="AO166" s="24"/>
      <c r="AP166" s="25"/>
      <c r="AQ166" s="26"/>
      <c r="AR166" s="27"/>
      <c r="AS166" s="192"/>
      <c r="AT166" s="111"/>
      <c r="AU166" s="193"/>
      <c r="AV166" s="140"/>
      <c r="AW166" s="118"/>
      <c r="AX166" s="141"/>
      <c r="AY166" s="149"/>
      <c r="AZ166" s="121"/>
      <c r="BA166" s="150"/>
      <c r="BB166" s="158"/>
      <c r="BC166" s="124"/>
      <c r="BD166" s="159"/>
      <c r="BE166" s="167"/>
      <c r="BF166" s="85"/>
      <c r="BG166" s="168"/>
      <c r="BH166" s="175"/>
      <c r="BI166" s="127"/>
      <c r="BJ166" s="176"/>
      <c r="BK166" s="184"/>
      <c r="BL166" s="130"/>
      <c r="BM166" s="185"/>
      <c r="BN166" s="69"/>
      <c r="BO166" s="85"/>
      <c r="BP166" s="85"/>
      <c r="BQ166" s="85"/>
      <c r="BR166" s="85"/>
      <c r="BS166" s="85"/>
      <c r="BT166" s="85"/>
      <c r="BU166" s="87"/>
      <c r="BV166" s="87"/>
      <c r="BW166" s="87"/>
      <c r="BX166" s="87"/>
      <c r="BY166" s="87"/>
      <c r="BZ166" s="87"/>
      <c r="CA166" s="90"/>
      <c r="CB166" s="90"/>
      <c r="CC166" s="90"/>
      <c r="CD166" s="90"/>
      <c r="CE166" s="90"/>
      <c r="CF166" s="90"/>
      <c r="CG166" s="85"/>
      <c r="CH166" s="85"/>
      <c r="CI166" s="85"/>
      <c r="CJ166" s="85"/>
      <c r="CK166" s="85"/>
      <c r="CL166" s="87"/>
      <c r="CM166" s="87"/>
      <c r="CN166" s="87"/>
      <c r="CO166" s="87"/>
      <c r="CP166" s="90"/>
      <c r="CQ166" s="90"/>
      <c r="CR166" s="90"/>
      <c r="CS166" s="90"/>
      <c r="CT166" s="85"/>
      <c r="CU166" s="85"/>
      <c r="CV166" s="85"/>
      <c r="CW166" s="85"/>
      <c r="CX166" s="85"/>
      <c r="CY166" s="85"/>
      <c r="CZ166" s="85"/>
      <c r="DA166" s="33">
        <f t="shared" ref="DA166:DA229" si="2">D166</f>
        <v>0</v>
      </c>
    </row>
    <row r="167" spans="35:105" ht="19" x14ac:dyDescent="0.25">
      <c r="AI167" s="71"/>
      <c r="AJ167" s="63"/>
      <c r="AK167" s="20"/>
      <c r="AL167" s="21"/>
      <c r="AM167" s="22"/>
      <c r="AN167" s="23"/>
      <c r="AO167" s="24"/>
      <c r="AP167" s="25"/>
      <c r="AQ167" s="26"/>
      <c r="AR167" s="27"/>
      <c r="AS167" s="192"/>
      <c r="AT167" s="111"/>
      <c r="AU167" s="193"/>
      <c r="AV167" s="140"/>
      <c r="AW167" s="118"/>
      <c r="AX167" s="141"/>
      <c r="AY167" s="149"/>
      <c r="AZ167" s="121"/>
      <c r="BA167" s="150"/>
      <c r="BB167" s="158"/>
      <c r="BC167" s="124"/>
      <c r="BD167" s="159"/>
      <c r="BE167" s="167"/>
      <c r="BF167" s="85"/>
      <c r="BG167" s="168"/>
      <c r="BH167" s="175"/>
      <c r="BI167" s="127"/>
      <c r="BJ167" s="176"/>
      <c r="BK167" s="184"/>
      <c r="BL167" s="130"/>
      <c r="BM167" s="185"/>
      <c r="BN167" s="69"/>
      <c r="BO167" s="85"/>
      <c r="BP167" s="85"/>
      <c r="BQ167" s="85"/>
      <c r="BR167" s="85"/>
      <c r="BS167" s="85"/>
      <c r="BT167" s="85"/>
      <c r="BU167" s="87"/>
      <c r="BV167" s="87"/>
      <c r="BW167" s="87"/>
      <c r="BX167" s="87"/>
      <c r="BY167" s="87"/>
      <c r="BZ167" s="87"/>
      <c r="CA167" s="90"/>
      <c r="CB167" s="90"/>
      <c r="CC167" s="90"/>
      <c r="CD167" s="90"/>
      <c r="CE167" s="90"/>
      <c r="CF167" s="90"/>
      <c r="CG167" s="85"/>
      <c r="CH167" s="85"/>
      <c r="CI167" s="85"/>
      <c r="CJ167" s="85"/>
      <c r="CK167" s="85"/>
      <c r="CL167" s="87"/>
      <c r="CM167" s="87"/>
      <c r="CN167" s="87"/>
      <c r="CO167" s="87"/>
      <c r="CP167" s="90"/>
      <c r="CQ167" s="90"/>
      <c r="CR167" s="90"/>
      <c r="CS167" s="90"/>
      <c r="CT167" s="85"/>
      <c r="CU167" s="85"/>
      <c r="CV167" s="85"/>
      <c r="CW167" s="85"/>
      <c r="CX167" s="85"/>
      <c r="CY167" s="85"/>
      <c r="CZ167" s="85"/>
      <c r="DA167" s="33">
        <f t="shared" si="2"/>
        <v>0</v>
      </c>
    </row>
    <row r="168" spans="35:105" ht="19" x14ac:dyDescent="0.25">
      <c r="AJ168" s="63"/>
      <c r="AK168" s="20"/>
      <c r="AL168" s="21"/>
      <c r="AM168" s="22"/>
      <c r="AN168" s="23"/>
      <c r="AO168" s="24"/>
      <c r="AP168" s="25"/>
      <c r="AQ168" s="26"/>
      <c r="AR168" s="27"/>
      <c r="AS168" s="192"/>
      <c r="AT168" s="111"/>
      <c r="AU168" s="193"/>
      <c r="AV168" s="140"/>
      <c r="AW168" s="118"/>
      <c r="AX168" s="141"/>
      <c r="AY168" s="149"/>
      <c r="AZ168" s="121"/>
      <c r="BA168" s="150"/>
      <c r="BB168" s="158"/>
      <c r="BC168" s="124"/>
      <c r="BD168" s="159"/>
      <c r="BE168" s="167"/>
      <c r="BF168" s="85"/>
      <c r="BG168" s="168"/>
      <c r="BH168" s="175"/>
      <c r="BI168" s="127"/>
      <c r="BJ168" s="176"/>
      <c r="BK168" s="184"/>
      <c r="BL168" s="130"/>
      <c r="BM168" s="185"/>
      <c r="BN168" s="69"/>
      <c r="BO168" s="85"/>
      <c r="BP168" s="85"/>
      <c r="BQ168" s="85"/>
      <c r="BR168" s="85"/>
      <c r="BS168" s="85"/>
      <c r="BT168" s="85"/>
      <c r="BU168" s="87"/>
      <c r="BV168" s="87"/>
      <c r="BW168" s="87"/>
      <c r="BX168" s="87"/>
      <c r="BY168" s="87"/>
      <c r="BZ168" s="87"/>
      <c r="CA168" s="90"/>
      <c r="CB168" s="90"/>
      <c r="CC168" s="90"/>
      <c r="CD168" s="90"/>
      <c r="CE168" s="90"/>
      <c r="CF168" s="90"/>
      <c r="CG168" s="85"/>
      <c r="CH168" s="85"/>
      <c r="CI168" s="85"/>
      <c r="CJ168" s="85"/>
      <c r="CK168" s="85"/>
      <c r="CL168" s="87"/>
      <c r="CM168" s="87"/>
      <c r="CN168" s="87"/>
      <c r="CO168" s="87"/>
      <c r="CP168" s="90"/>
      <c r="CQ168" s="90"/>
      <c r="CR168" s="90"/>
      <c r="CS168" s="90"/>
      <c r="CT168" s="85"/>
      <c r="CU168" s="85"/>
      <c r="CV168" s="85"/>
      <c r="CW168" s="85"/>
      <c r="CX168" s="85"/>
      <c r="CY168" s="85"/>
      <c r="CZ168" s="85"/>
      <c r="DA168" s="33">
        <f t="shared" si="2"/>
        <v>0</v>
      </c>
    </row>
    <row r="169" spans="35:105" ht="19" x14ac:dyDescent="0.25">
      <c r="AJ169" s="63"/>
      <c r="AK169" s="20"/>
      <c r="AL169" s="21"/>
      <c r="AM169" s="22"/>
      <c r="AN169" s="23"/>
      <c r="AO169" s="24"/>
      <c r="AP169" s="25"/>
      <c r="AQ169" s="26"/>
      <c r="AR169" s="27"/>
      <c r="AS169" s="192"/>
      <c r="AT169" s="111"/>
      <c r="AU169" s="193"/>
      <c r="AV169" s="140"/>
      <c r="AW169" s="118"/>
      <c r="AX169" s="141"/>
      <c r="AY169" s="149"/>
      <c r="AZ169" s="121"/>
      <c r="BA169" s="150"/>
      <c r="BB169" s="158"/>
      <c r="BC169" s="124"/>
      <c r="BD169" s="159"/>
      <c r="BE169" s="167"/>
      <c r="BF169" s="85"/>
      <c r="BG169" s="168"/>
      <c r="BH169" s="175"/>
      <c r="BI169" s="127"/>
      <c r="BJ169" s="176"/>
      <c r="BK169" s="184"/>
      <c r="BL169" s="130"/>
      <c r="BM169" s="185"/>
      <c r="BN169" s="69"/>
      <c r="BO169" s="85"/>
      <c r="BP169" s="85"/>
      <c r="BQ169" s="85"/>
      <c r="BR169" s="85"/>
      <c r="BS169" s="85"/>
      <c r="BT169" s="85"/>
      <c r="BU169" s="87"/>
      <c r="BV169" s="87"/>
      <c r="BW169" s="87"/>
      <c r="BX169" s="87"/>
      <c r="BY169" s="87"/>
      <c r="BZ169" s="87"/>
      <c r="CA169" s="90"/>
      <c r="CB169" s="90"/>
      <c r="CC169" s="90"/>
      <c r="CD169" s="90"/>
      <c r="CE169" s="90"/>
      <c r="CF169" s="90"/>
      <c r="CG169" s="85"/>
      <c r="CH169" s="85"/>
      <c r="CI169" s="85"/>
      <c r="CJ169" s="85"/>
      <c r="CK169" s="85"/>
      <c r="CL169" s="87"/>
      <c r="CM169" s="87"/>
      <c r="CN169" s="87"/>
      <c r="CO169" s="87"/>
      <c r="CP169" s="90"/>
      <c r="CQ169" s="90"/>
      <c r="CR169" s="90"/>
      <c r="CS169" s="90"/>
      <c r="CT169" s="85"/>
      <c r="CU169" s="85"/>
      <c r="CV169" s="85"/>
      <c r="CW169" s="85"/>
      <c r="CX169" s="85"/>
      <c r="CY169" s="85"/>
      <c r="CZ169" s="85"/>
      <c r="DA169" s="33">
        <f t="shared" si="2"/>
        <v>0</v>
      </c>
    </row>
    <row r="170" spans="35:105" ht="19" x14ac:dyDescent="0.25">
      <c r="AJ170" s="63"/>
      <c r="AK170" s="20"/>
      <c r="AL170" s="21"/>
      <c r="AM170" s="22"/>
      <c r="AN170" s="23"/>
      <c r="AO170" s="24"/>
      <c r="AP170" s="25"/>
      <c r="AQ170" s="26"/>
      <c r="AR170" s="27"/>
      <c r="AS170" s="192"/>
      <c r="AT170" s="111"/>
      <c r="AU170" s="193"/>
      <c r="AV170" s="140"/>
      <c r="AW170" s="118"/>
      <c r="AX170" s="141"/>
      <c r="AY170" s="149"/>
      <c r="AZ170" s="121"/>
      <c r="BA170" s="150"/>
      <c r="BB170" s="158"/>
      <c r="BC170" s="124"/>
      <c r="BD170" s="159"/>
      <c r="BE170" s="167"/>
      <c r="BF170" s="85"/>
      <c r="BG170" s="168"/>
      <c r="BH170" s="175"/>
      <c r="BI170" s="127"/>
      <c r="BJ170" s="176"/>
      <c r="BK170" s="184"/>
      <c r="BL170" s="130"/>
      <c r="BM170" s="185"/>
      <c r="BN170" s="69"/>
      <c r="BO170" s="85"/>
      <c r="BP170" s="85"/>
      <c r="BQ170" s="85"/>
      <c r="BR170" s="85"/>
      <c r="BS170" s="85"/>
      <c r="BT170" s="85"/>
      <c r="BU170" s="87"/>
      <c r="BV170" s="87"/>
      <c r="BW170" s="87"/>
      <c r="BX170" s="87"/>
      <c r="BY170" s="87"/>
      <c r="BZ170" s="87"/>
      <c r="CA170" s="90"/>
      <c r="CB170" s="90"/>
      <c r="CC170" s="90"/>
      <c r="CD170" s="90"/>
      <c r="CE170" s="90"/>
      <c r="CF170" s="90"/>
      <c r="CG170" s="85"/>
      <c r="CH170" s="85"/>
      <c r="CI170" s="85"/>
      <c r="CJ170" s="85"/>
      <c r="CK170" s="85"/>
      <c r="CL170" s="87"/>
      <c r="CM170" s="87"/>
      <c r="CN170" s="87"/>
      <c r="CO170" s="87"/>
      <c r="CP170" s="90"/>
      <c r="CQ170" s="90"/>
      <c r="CR170" s="90"/>
      <c r="CS170" s="90"/>
      <c r="CT170" s="85"/>
      <c r="CU170" s="85"/>
      <c r="CV170" s="85"/>
      <c r="CW170" s="85"/>
      <c r="CX170" s="85"/>
      <c r="CY170" s="85"/>
      <c r="CZ170" s="85"/>
      <c r="DA170" s="33">
        <f t="shared" si="2"/>
        <v>0</v>
      </c>
    </row>
    <row r="171" spans="35:105" ht="19" x14ac:dyDescent="0.25">
      <c r="AJ171" s="63"/>
      <c r="AK171" s="20"/>
      <c r="AL171" s="21"/>
      <c r="AM171" s="22"/>
      <c r="AN171" s="23"/>
      <c r="AO171" s="24"/>
      <c r="AP171" s="25"/>
      <c r="AQ171" s="26"/>
      <c r="AR171" s="27"/>
      <c r="AS171" s="192"/>
      <c r="AT171" s="111"/>
      <c r="AU171" s="193"/>
      <c r="AV171" s="140"/>
      <c r="AW171" s="118"/>
      <c r="AX171" s="141"/>
      <c r="AY171" s="149"/>
      <c r="AZ171" s="121"/>
      <c r="BA171" s="150"/>
      <c r="BB171" s="158"/>
      <c r="BC171" s="124"/>
      <c r="BD171" s="159"/>
      <c r="BE171" s="167"/>
      <c r="BF171" s="85"/>
      <c r="BG171" s="168"/>
      <c r="BH171" s="175"/>
      <c r="BI171" s="127"/>
      <c r="BJ171" s="176"/>
      <c r="BK171" s="184"/>
      <c r="BL171" s="130"/>
      <c r="BM171" s="185"/>
      <c r="BN171" s="69"/>
      <c r="BO171" s="85"/>
      <c r="BP171" s="85"/>
      <c r="BQ171" s="85"/>
      <c r="BR171" s="85"/>
      <c r="BS171" s="85"/>
      <c r="BT171" s="85"/>
      <c r="BU171" s="87"/>
      <c r="BV171" s="87"/>
      <c r="BW171" s="87"/>
      <c r="BX171" s="87"/>
      <c r="BY171" s="87"/>
      <c r="BZ171" s="87"/>
      <c r="CA171" s="90"/>
      <c r="CB171" s="90"/>
      <c r="CC171" s="90"/>
      <c r="CD171" s="90"/>
      <c r="CE171" s="90"/>
      <c r="CF171" s="90"/>
      <c r="CG171" s="85"/>
      <c r="CH171" s="85"/>
      <c r="CI171" s="85"/>
      <c r="CJ171" s="85"/>
      <c r="CK171" s="85"/>
      <c r="CL171" s="87"/>
      <c r="CM171" s="87"/>
      <c r="CN171" s="87"/>
      <c r="CO171" s="87"/>
      <c r="CP171" s="90"/>
      <c r="CQ171" s="90"/>
      <c r="CR171" s="90"/>
      <c r="CS171" s="90"/>
      <c r="CT171" s="85"/>
      <c r="CU171" s="85"/>
      <c r="CV171" s="85"/>
      <c r="CW171" s="85"/>
      <c r="CX171" s="85"/>
      <c r="CY171" s="85"/>
      <c r="CZ171" s="85"/>
      <c r="DA171" s="33">
        <f t="shared" si="2"/>
        <v>0</v>
      </c>
    </row>
    <row r="172" spans="35:105" ht="19" x14ac:dyDescent="0.25">
      <c r="AJ172" s="63"/>
      <c r="AK172" s="20"/>
      <c r="AL172" s="21"/>
      <c r="AM172" s="22"/>
      <c r="AN172" s="23"/>
      <c r="AO172" s="24"/>
      <c r="AP172" s="25"/>
      <c r="AQ172" s="26"/>
      <c r="AR172" s="27"/>
      <c r="AS172" s="192"/>
      <c r="AT172" s="111"/>
      <c r="AU172" s="193"/>
      <c r="AV172" s="140"/>
      <c r="AW172" s="118"/>
      <c r="AX172" s="141"/>
      <c r="AY172" s="149"/>
      <c r="AZ172" s="121"/>
      <c r="BA172" s="150"/>
      <c r="BB172" s="158"/>
      <c r="BC172" s="124"/>
      <c r="BD172" s="159"/>
      <c r="BE172" s="167"/>
      <c r="BF172" s="85"/>
      <c r="BG172" s="168"/>
      <c r="BH172" s="175"/>
      <c r="BI172" s="127"/>
      <c r="BJ172" s="176"/>
      <c r="BK172" s="184"/>
      <c r="BL172" s="130"/>
      <c r="BM172" s="185"/>
      <c r="BN172" s="69"/>
      <c r="BO172" s="85"/>
      <c r="BP172" s="85"/>
      <c r="BQ172" s="85"/>
      <c r="BR172" s="85"/>
      <c r="BS172" s="85"/>
      <c r="BT172" s="85"/>
      <c r="BU172" s="87"/>
      <c r="BV172" s="87"/>
      <c r="BW172" s="87"/>
      <c r="BX172" s="87"/>
      <c r="BY172" s="87"/>
      <c r="BZ172" s="87"/>
      <c r="CA172" s="90"/>
      <c r="CB172" s="90"/>
      <c r="CC172" s="90"/>
      <c r="CD172" s="90"/>
      <c r="CE172" s="90"/>
      <c r="CF172" s="90"/>
      <c r="CG172" s="85"/>
      <c r="CH172" s="85"/>
      <c r="CI172" s="85"/>
      <c r="CJ172" s="85"/>
      <c r="CK172" s="85"/>
      <c r="CL172" s="87"/>
      <c r="CM172" s="87"/>
      <c r="CN172" s="87"/>
      <c r="CO172" s="87"/>
      <c r="CP172" s="90"/>
      <c r="CQ172" s="90"/>
      <c r="CR172" s="90"/>
      <c r="CS172" s="90"/>
      <c r="CT172" s="85"/>
      <c r="CU172" s="85"/>
      <c r="CV172" s="85"/>
      <c r="CW172" s="85"/>
      <c r="CX172" s="85"/>
      <c r="CY172" s="85"/>
      <c r="CZ172" s="85"/>
      <c r="DA172" s="33">
        <f t="shared" si="2"/>
        <v>0</v>
      </c>
    </row>
    <row r="173" spans="35:105" ht="19" x14ac:dyDescent="0.25">
      <c r="AJ173" s="63"/>
      <c r="AK173" s="20"/>
      <c r="AL173" s="21"/>
      <c r="AM173" s="22"/>
      <c r="AN173" s="23"/>
      <c r="AO173" s="24"/>
      <c r="AP173" s="25"/>
      <c r="AQ173" s="26"/>
      <c r="AR173" s="27"/>
      <c r="AS173" s="192"/>
      <c r="AT173" s="111"/>
      <c r="AU173" s="193"/>
      <c r="AV173" s="140"/>
      <c r="AW173" s="118"/>
      <c r="AX173" s="141"/>
      <c r="AY173" s="149"/>
      <c r="AZ173" s="121"/>
      <c r="BA173" s="150"/>
      <c r="BB173" s="158"/>
      <c r="BC173" s="124"/>
      <c r="BD173" s="159"/>
      <c r="BE173" s="167"/>
      <c r="BF173" s="85"/>
      <c r="BG173" s="168"/>
      <c r="BH173" s="175"/>
      <c r="BI173" s="127"/>
      <c r="BJ173" s="176"/>
      <c r="BK173" s="184"/>
      <c r="BL173" s="130"/>
      <c r="BM173" s="185"/>
      <c r="BN173" s="69"/>
      <c r="BO173" s="85"/>
      <c r="BP173" s="85"/>
      <c r="BQ173" s="85"/>
      <c r="BR173" s="85"/>
      <c r="BS173" s="85"/>
      <c r="BT173" s="85"/>
      <c r="BU173" s="87"/>
      <c r="BV173" s="87"/>
      <c r="BW173" s="87"/>
      <c r="BX173" s="87"/>
      <c r="BY173" s="87"/>
      <c r="BZ173" s="87"/>
      <c r="CA173" s="90"/>
      <c r="CB173" s="90"/>
      <c r="CC173" s="90"/>
      <c r="CD173" s="90"/>
      <c r="CE173" s="90"/>
      <c r="CF173" s="90"/>
      <c r="CG173" s="85"/>
      <c r="CH173" s="85"/>
      <c r="CI173" s="85"/>
      <c r="CJ173" s="85"/>
      <c r="CK173" s="85"/>
      <c r="CL173" s="87"/>
      <c r="CM173" s="87"/>
      <c r="CN173" s="87"/>
      <c r="CO173" s="87"/>
      <c r="CP173" s="90"/>
      <c r="CQ173" s="90"/>
      <c r="CR173" s="90"/>
      <c r="CS173" s="90"/>
      <c r="CT173" s="85"/>
      <c r="CU173" s="85"/>
      <c r="CV173" s="85"/>
      <c r="CW173" s="85"/>
      <c r="CX173" s="85"/>
      <c r="CY173" s="85"/>
      <c r="CZ173" s="85"/>
      <c r="DA173" s="33">
        <f t="shared" si="2"/>
        <v>0</v>
      </c>
    </row>
    <row r="174" spans="35:105" ht="19" x14ac:dyDescent="0.25">
      <c r="AJ174" s="63"/>
      <c r="AK174" s="20"/>
      <c r="AL174" s="21"/>
      <c r="AM174" s="22"/>
      <c r="AN174" s="23"/>
      <c r="AO174" s="24"/>
      <c r="AP174" s="25"/>
      <c r="AQ174" s="26"/>
      <c r="AR174" s="27"/>
      <c r="AS174" s="192"/>
      <c r="AT174" s="111"/>
      <c r="AU174" s="193"/>
      <c r="AV174" s="140"/>
      <c r="AW174" s="118"/>
      <c r="AX174" s="141"/>
      <c r="AY174" s="149"/>
      <c r="AZ174" s="121"/>
      <c r="BA174" s="150"/>
      <c r="BB174" s="158"/>
      <c r="BC174" s="124"/>
      <c r="BD174" s="159"/>
      <c r="BE174" s="167"/>
      <c r="BF174" s="85"/>
      <c r="BG174" s="168"/>
      <c r="BH174" s="175"/>
      <c r="BI174" s="127"/>
      <c r="BJ174" s="176"/>
      <c r="BK174" s="184"/>
      <c r="BL174" s="130"/>
      <c r="BM174" s="185"/>
      <c r="BN174" s="69"/>
      <c r="BO174" s="85"/>
      <c r="BP174" s="85"/>
      <c r="BQ174" s="85"/>
      <c r="BR174" s="85"/>
      <c r="BS174" s="85"/>
      <c r="BT174" s="85"/>
      <c r="BU174" s="87"/>
      <c r="BV174" s="87"/>
      <c r="BW174" s="87"/>
      <c r="BX174" s="87"/>
      <c r="BY174" s="87"/>
      <c r="BZ174" s="87"/>
      <c r="CA174" s="90"/>
      <c r="CB174" s="90"/>
      <c r="CC174" s="90"/>
      <c r="CD174" s="90"/>
      <c r="CE174" s="90"/>
      <c r="CF174" s="90"/>
      <c r="CG174" s="85"/>
      <c r="CH174" s="85"/>
      <c r="CI174" s="85"/>
      <c r="CJ174" s="85"/>
      <c r="CK174" s="85"/>
      <c r="CL174" s="87"/>
      <c r="CM174" s="87"/>
      <c r="CN174" s="87"/>
      <c r="CO174" s="87"/>
      <c r="CP174" s="90"/>
      <c r="CQ174" s="90"/>
      <c r="CR174" s="90"/>
      <c r="CS174" s="90"/>
      <c r="CT174" s="85"/>
      <c r="CU174" s="85"/>
      <c r="CV174" s="85"/>
      <c r="CW174" s="85"/>
      <c r="CX174" s="85"/>
      <c r="CY174" s="85"/>
      <c r="CZ174" s="85"/>
      <c r="DA174" s="33">
        <f t="shared" si="2"/>
        <v>0</v>
      </c>
    </row>
    <row r="175" spans="35:105" ht="19" x14ac:dyDescent="0.25">
      <c r="AJ175" s="63"/>
      <c r="AK175" s="20"/>
      <c r="AL175" s="21"/>
      <c r="AM175" s="22"/>
      <c r="AN175" s="23"/>
      <c r="AO175" s="24"/>
      <c r="AP175" s="25"/>
      <c r="AQ175" s="26"/>
      <c r="AR175" s="27"/>
      <c r="AS175" s="192"/>
      <c r="AT175" s="111"/>
      <c r="AU175" s="193"/>
      <c r="AV175" s="140"/>
      <c r="AW175" s="118"/>
      <c r="AX175" s="141"/>
      <c r="AY175" s="149"/>
      <c r="AZ175" s="121"/>
      <c r="BA175" s="150"/>
      <c r="BB175" s="158"/>
      <c r="BC175" s="124"/>
      <c r="BD175" s="159"/>
      <c r="BE175" s="167"/>
      <c r="BF175" s="85"/>
      <c r="BG175" s="168"/>
      <c r="BH175" s="175"/>
      <c r="BI175" s="127"/>
      <c r="BJ175" s="176"/>
      <c r="BK175" s="184"/>
      <c r="BL175" s="130"/>
      <c r="BM175" s="185"/>
      <c r="BN175" s="69"/>
      <c r="BO175" s="85"/>
      <c r="BP175" s="85"/>
      <c r="BQ175" s="85"/>
      <c r="BR175" s="85"/>
      <c r="BS175" s="85"/>
      <c r="BT175" s="85"/>
      <c r="BU175" s="87"/>
      <c r="BV175" s="87"/>
      <c r="BW175" s="87"/>
      <c r="BX175" s="87"/>
      <c r="BY175" s="87"/>
      <c r="BZ175" s="87"/>
      <c r="CA175" s="90"/>
      <c r="CB175" s="90"/>
      <c r="CC175" s="90"/>
      <c r="CD175" s="90"/>
      <c r="CE175" s="90"/>
      <c r="CF175" s="90"/>
      <c r="CG175" s="85"/>
      <c r="CH175" s="85"/>
      <c r="CI175" s="85"/>
      <c r="CJ175" s="85"/>
      <c r="CK175" s="85"/>
      <c r="CL175" s="87"/>
      <c r="CM175" s="87"/>
      <c r="CN175" s="87"/>
      <c r="CO175" s="87"/>
      <c r="CP175" s="90"/>
      <c r="CQ175" s="90"/>
      <c r="CR175" s="90"/>
      <c r="CS175" s="90"/>
      <c r="CT175" s="85"/>
      <c r="CU175" s="85"/>
      <c r="CV175" s="85"/>
      <c r="CW175" s="85"/>
      <c r="CX175" s="85"/>
      <c r="CY175" s="85"/>
      <c r="CZ175" s="85"/>
      <c r="DA175" s="33">
        <f t="shared" si="2"/>
        <v>0</v>
      </c>
    </row>
    <row r="176" spans="35:105" ht="19" x14ac:dyDescent="0.25">
      <c r="AJ176" s="63"/>
      <c r="AK176" s="20"/>
      <c r="AL176" s="21"/>
      <c r="AM176" s="22"/>
      <c r="AN176" s="23"/>
      <c r="AO176" s="24"/>
      <c r="AP176" s="25"/>
      <c r="AQ176" s="26"/>
      <c r="AR176" s="27"/>
      <c r="AS176" s="192"/>
      <c r="AT176" s="111"/>
      <c r="AU176" s="193"/>
      <c r="AV176" s="140"/>
      <c r="AW176" s="118"/>
      <c r="AX176" s="141"/>
      <c r="AY176" s="149"/>
      <c r="AZ176" s="121"/>
      <c r="BA176" s="150"/>
      <c r="BB176" s="158"/>
      <c r="BC176" s="124"/>
      <c r="BD176" s="159"/>
      <c r="BE176" s="167"/>
      <c r="BF176" s="85"/>
      <c r="BG176" s="168"/>
      <c r="BH176" s="175"/>
      <c r="BI176" s="127"/>
      <c r="BJ176" s="176"/>
      <c r="BK176" s="184"/>
      <c r="BL176" s="130"/>
      <c r="BM176" s="185"/>
      <c r="BN176" s="69"/>
      <c r="BO176" s="85"/>
      <c r="BP176" s="85"/>
      <c r="BQ176" s="85"/>
      <c r="BR176" s="85"/>
      <c r="BS176" s="85"/>
      <c r="BT176" s="85"/>
      <c r="BU176" s="87"/>
      <c r="BV176" s="87"/>
      <c r="BW176" s="87"/>
      <c r="BX176" s="87"/>
      <c r="BY176" s="87"/>
      <c r="BZ176" s="87"/>
      <c r="CA176" s="90"/>
      <c r="CB176" s="90"/>
      <c r="CC176" s="90"/>
      <c r="CD176" s="90"/>
      <c r="CE176" s="90"/>
      <c r="CF176" s="90"/>
      <c r="CG176" s="85"/>
      <c r="CH176" s="85"/>
      <c r="CI176" s="85"/>
      <c r="CJ176" s="85"/>
      <c r="CK176" s="85"/>
      <c r="CL176" s="87"/>
      <c r="CM176" s="87"/>
      <c r="CN176" s="87"/>
      <c r="CO176" s="87"/>
      <c r="CP176" s="90"/>
      <c r="CQ176" s="90"/>
      <c r="CR176" s="90"/>
      <c r="CS176" s="90"/>
      <c r="CT176" s="85"/>
      <c r="CU176" s="85"/>
      <c r="CV176" s="85"/>
      <c r="CW176" s="85"/>
      <c r="CX176" s="85"/>
      <c r="CY176" s="85"/>
      <c r="CZ176" s="85"/>
      <c r="DA176" s="33">
        <f t="shared" si="2"/>
        <v>0</v>
      </c>
    </row>
    <row r="177" spans="36:105" ht="19" x14ac:dyDescent="0.25">
      <c r="AJ177" s="63"/>
      <c r="AK177" s="20"/>
      <c r="AL177" s="21"/>
      <c r="AM177" s="22"/>
      <c r="AN177" s="23"/>
      <c r="AO177" s="24"/>
      <c r="AP177" s="25"/>
      <c r="AQ177" s="26"/>
      <c r="AR177" s="27"/>
      <c r="AS177" s="192"/>
      <c r="AT177" s="111"/>
      <c r="AU177" s="193"/>
      <c r="AV177" s="140"/>
      <c r="AW177" s="118"/>
      <c r="AX177" s="141"/>
      <c r="AY177" s="149"/>
      <c r="AZ177" s="121"/>
      <c r="BA177" s="150"/>
      <c r="BB177" s="158"/>
      <c r="BC177" s="124"/>
      <c r="BD177" s="159"/>
      <c r="BE177" s="167"/>
      <c r="BF177" s="85"/>
      <c r="BG177" s="168"/>
      <c r="BH177" s="175"/>
      <c r="BI177" s="127"/>
      <c r="BJ177" s="176"/>
      <c r="BK177" s="184"/>
      <c r="BL177" s="130"/>
      <c r="BM177" s="185"/>
      <c r="BN177" s="69"/>
      <c r="BO177" s="85"/>
      <c r="BP177" s="85"/>
      <c r="BQ177" s="85"/>
      <c r="BR177" s="85"/>
      <c r="BS177" s="85"/>
      <c r="BT177" s="85"/>
      <c r="BU177" s="87"/>
      <c r="BV177" s="87"/>
      <c r="BW177" s="87"/>
      <c r="BX177" s="87"/>
      <c r="BY177" s="87"/>
      <c r="BZ177" s="87"/>
      <c r="CA177" s="90"/>
      <c r="CB177" s="90"/>
      <c r="CC177" s="90"/>
      <c r="CD177" s="90"/>
      <c r="CE177" s="90"/>
      <c r="CF177" s="90"/>
      <c r="CG177" s="85"/>
      <c r="CH177" s="85"/>
      <c r="CI177" s="85"/>
      <c r="CJ177" s="85"/>
      <c r="CK177" s="85"/>
      <c r="CL177" s="87"/>
      <c r="CM177" s="87"/>
      <c r="CN177" s="87"/>
      <c r="CO177" s="87"/>
      <c r="CP177" s="90"/>
      <c r="CQ177" s="90"/>
      <c r="CR177" s="90"/>
      <c r="CS177" s="90"/>
      <c r="CT177" s="85"/>
      <c r="CU177" s="85"/>
      <c r="CV177" s="85"/>
      <c r="CW177" s="85"/>
      <c r="CX177" s="85"/>
      <c r="CY177" s="85"/>
      <c r="CZ177" s="85"/>
      <c r="DA177" s="33">
        <f t="shared" si="2"/>
        <v>0</v>
      </c>
    </row>
    <row r="178" spans="36:105" ht="19" x14ac:dyDescent="0.25">
      <c r="AJ178" s="63"/>
      <c r="AK178" s="20"/>
      <c r="AL178" s="21"/>
      <c r="AM178" s="22"/>
      <c r="AN178" s="23"/>
      <c r="AO178" s="24"/>
      <c r="AP178" s="25"/>
      <c r="AQ178" s="26"/>
      <c r="AR178" s="27"/>
      <c r="AS178" s="192"/>
      <c r="AT178" s="111"/>
      <c r="AU178" s="193"/>
      <c r="AV178" s="140"/>
      <c r="AW178" s="118"/>
      <c r="AX178" s="141"/>
      <c r="AY178" s="149"/>
      <c r="AZ178" s="121"/>
      <c r="BA178" s="150"/>
      <c r="BB178" s="158"/>
      <c r="BC178" s="124"/>
      <c r="BD178" s="159"/>
      <c r="BE178" s="167"/>
      <c r="BF178" s="85"/>
      <c r="BG178" s="168"/>
      <c r="BH178" s="175"/>
      <c r="BI178" s="127"/>
      <c r="BJ178" s="176"/>
      <c r="BK178" s="184"/>
      <c r="BL178" s="130"/>
      <c r="BM178" s="185"/>
      <c r="BN178" s="69"/>
      <c r="BO178" s="85"/>
      <c r="BP178" s="85"/>
      <c r="BQ178" s="85"/>
      <c r="BR178" s="85"/>
      <c r="BS178" s="85"/>
      <c r="BT178" s="85"/>
      <c r="BU178" s="87"/>
      <c r="BV178" s="87"/>
      <c r="BW178" s="87"/>
      <c r="BX178" s="87"/>
      <c r="BY178" s="87"/>
      <c r="BZ178" s="87"/>
      <c r="CA178" s="90"/>
      <c r="CB178" s="90"/>
      <c r="CC178" s="90"/>
      <c r="CD178" s="90"/>
      <c r="CE178" s="90"/>
      <c r="CF178" s="90"/>
      <c r="CG178" s="85"/>
      <c r="CH178" s="85"/>
      <c r="CI178" s="85"/>
      <c r="CJ178" s="85"/>
      <c r="CK178" s="85"/>
      <c r="CL178" s="87"/>
      <c r="CM178" s="87"/>
      <c r="CN178" s="87"/>
      <c r="CO178" s="87"/>
      <c r="CP178" s="90"/>
      <c r="CQ178" s="90"/>
      <c r="CR178" s="90"/>
      <c r="CS178" s="90"/>
      <c r="CT178" s="85"/>
      <c r="CU178" s="85"/>
      <c r="CV178" s="85"/>
      <c r="CW178" s="85"/>
      <c r="CX178" s="85"/>
      <c r="CY178" s="85"/>
      <c r="CZ178" s="85"/>
      <c r="DA178" s="33">
        <f t="shared" si="2"/>
        <v>0</v>
      </c>
    </row>
    <row r="179" spans="36:105" ht="19" x14ac:dyDescent="0.25">
      <c r="AJ179" s="63"/>
      <c r="AK179" s="20"/>
      <c r="AL179" s="21"/>
      <c r="AM179" s="22"/>
      <c r="AN179" s="23"/>
      <c r="AO179" s="24"/>
      <c r="AP179" s="25"/>
      <c r="AQ179" s="26"/>
      <c r="AR179" s="27"/>
      <c r="AS179" s="192"/>
      <c r="AT179" s="111"/>
      <c r="AU179" s="193"/>
      <c r="AV179" s="140"/>
      <c r="AW179" s="118"/>
      <c r="AX179" s="141"/>
      <c r="AY179" s="149"/>
      <c r="AZ179" s="121"/>
      <c r="BA179" s="150"/>
      <c r="BB179" s="158"/>
      <c r="BC179" s="124"/>
      <c r="BD179" s="159"/>
      <c r="BE179" s="167"/>
      <c r="BF179" s="85"/>
      <c r="BG179" s="168"/>
      <c r="BH179" s="175"/>
      <c r="BI179" s="127"/>
      <c r="BJ179" s="176"/>
      <c r="BK179" s="184"/>
      <c r="BL179" s="130"/>
      <c r="BM179" s="185"/>
      <c r="BN179" s="69"/>
      <c r="BO179" s="85"/>
      <c r="BP179" s="85"/>
      <c r="BQ179" s="85"/>
      <c r="BR179" s="85"/>
      <c r="BS179" s="85"/>
      <c r="BT179" s="85"/>
      <c r="BU179" s="87"/>
      <c r="BV179" s="87"/>
      <c r="BW179" s="87"/>
      <c r="BX179" s="87"/>
      <c r="BY179" s="87"/>
      <c r="BZ179" s="87"/>
      <c r="CA179" s="90"/>
      <c r="CB179" s="90"/>
      <c r="CC179" s="90"/>
      <c r="CD179" s="90"/>
      <c r="CE179" s="90"/>
      <c r="CF179" s="90"/>
      <c r="CG179" s="85"/>
      <c r="CH179" s="85"/>
      <c r="CI179" s="85"/>
      <c r="CJ179" s="85"/>
      <c r="CK179" s="85"/>
      <c r="CL179" s="87"/>
      <c r="CM179" s="87"/>
      <c r="CN179" s="87"/>
      <c r="CO179" s="87"/>
      <c r="CP179" s="90"/>
      <c r="CQ179" s="90"/>
      <c r="CR179" s="90"/>
      <c r="CS179" s="90"/>
      <c r="CT179" s="85"/>
      <c r="CU179" s="85"/>
      <c r="CV179" s="85"/>
      <c r="CW179" s="85"/>
      <c r="CX179" s="85"/>
      <c r="CY179" s="85"/>
      <c r="CZ179" s="85"/>
      <c r="DA179" s="33">
        <f t="shared" si="2"/>
        <v>0</v>
      </c>
    </row>
    <row r="180" spans="36:105" ht="19" x14ac:dyDescent="0.25">
      <c r="AJ180" s="63"/>
      <c r="AK180" s="20"/>
      <c r="AL180" s="21"/>
      <c r="AM180" s="22"/>
      <c r="AN180" s="23"/>
      <c r="AO180" s="24"/>
      <c r="AP180" s="25"/>
      <c r="AQ180" s="26"/>
      <c r="AR180" s="27"/>
      <c r="AS180" s="192"/>
      <c r="AT180" s="111"/>
      <c r="AU180" s="193"/>
      <c r="AV180" s="140"/>
      <c r="AW180" s="118"/>
      <c r="AX180" s="141"/>
      <c r="AY180" s="149"/>
      <c r="AZ180" s="121"/>
      <c r="BA180" s="150"/>
      <c r="BB180" s="158"/>
      <c r="BC180" s="124"/>
      <c r="BD180" s="159"/>
      <c r="BE180" s="167"/>
      <c r="BF180" s="85"/>
      <c r="BG180" s="168"/>
      <c r="BH180" s="175"/>
      <c r="BI180" s="127"/>
      <c r="BJ180" s="176"/>
      <c r="BK180" s="184"/>
      <c r="BL180" s="130"/>
      <c r="BM180" s="185"/>
      <c r="BN180" s="69"/>
      <c r="BO180" s="85"/>
      <c r="BP180" s="85"/>
      <c r="BQ180" s="85"/>
      <c r="BR180" s="85"/>
      <c r="BS180" s="85"/>
      <c r="BT180" s="85"/>
      <c r="BU180" s="87"/>
      <c r="BV180" s="87"/>
      <c r="BW180" s="87"/>
      <c r="BX180" s="87"/>
      <c r="BY180" s="87"/>
      <c r="BZ180" s="87"/>
      <c r="CA180" s="90"/>
      <c r="CB180" s="90"/>
      <c r="CC180" s="90"/>
      <c r="CD180" s="90"/>
      <c r="CE180" s="90"/>
      <c r="CF180" s="90"/>
      <c r="CG180" s="85"/>
      <c r="CH180" s="85"/>
      <c r="CI180" s="85"/>
      <c r="CJ180" s="85"/>
      <c r="CK180" s="85"/>
      <c r="CL180" s="87"/>
      <c r="CM180" s="87"/>
      <c r="CN180" s="87"/>
      <c r="CO180" s="87"/>
      <c r="CP180" s="90"/>
      <c r="CQ180" s="90"/>
      <c r="CR180" s="90"/>
      <c r="CS180" s="90"/>
      <c r="CT180" s="85"/>
      <c r="CU180" s="85"/>
      <c r="CV180" s="85"/>
      <c r="CW180" s="85"/>
      <c r="CX180" s="85"/>
      <c r="CY180" s="85"/>
      <c r="CZ180" s="85"/>
      <c r="DA180" s="33">
        <f t="shared" si="2"/>
        <v>0</v>
      </c>
    </row>
    <row r="181" spans="36:105" ht="19" x14ac:dyDescent="0.25">
      <c r="AJ181" s="63"/>
      <c r="AK181" s="20"/>
      <c r="AL181" s="21"/>
      <c r="AM181" s="22"/>
      <c r="AN181" s="23"/>
      <c r="AO181" s="24"/>
      <c r="AP181" s="25"/>
      <c r="AQ181" s="26"/>
      <c r="AR181" s="27"/>
      <c r="AS181" s="192"/>
      <c r="AT181" s="111"/>
      <c r="AU181" s="193"/>
      <c r="AV181" s="140"/>
      <c r="AW181" s="118"/>
      <c r="AX181" s="141"/>
      <c r="AY181" s="149"/>
      <c r="AZ181" s="121"/>
      <c r="BA181" s="150"/>
      <c r="BB181" s="158"/>
      <c r="BC181" s="124"/>
      <c r="BD181" s="159"/>
      <c r="BE181" s="167"/>
      <c r="BF181" s="85"/>
      <c r="BG181" s="168"/>
      <c r="BH181" s="175"/>
      <c r="BI181" s="127"/>
      <c r="BJ181" s="176"/>
      <c r="BK181" s="184"/>
      <c r="BL181" s="130"/>
      <c r="BM181" s="185"/>
      <c r="BN181" s="69"/>
      <c r="BO181" s="85"/>
      <c r="BP181" s="85"/>
      <c r="BQ181" s="85"/>
      <c r="BR181" s="85"/>
      <c r="BS181" s="85"/>
      <c r="BT181" s="85"/>
      <c r="BU181" s="87"/>
      <c r="BV181" s="87"/>
      <c r="BW181" s="87"/>
      <c r="BX181" s="87"/>
      <c r="BY181" s="87"/>
      <c r="BZ181" s="87"/>
      <c r="CA181" s="90"/>
      <c r="CB181" s="90"/>
      <c r="CC181" s="90"/>
      <c r="CD181" s="90"/>
      <c r="CE181" s="90"/>
      <c r="CF181" s="90"/>
      <c r="CG181" s="85"/>
      <c r="CH181" s="85"/>
      <c r="CI181" s="85"/>
      <c r="CJ181" s="85"/>
      <c r="CK181" s="85"/>
      <c r="CL181" s="87"/>
      <c r="CM181" s="87"/>
      <c r="CN181" s="87"/>
      <c r="CO181" s="87"/>
      <c r="CP181" s="90"/>
      <c r="CQ181" s="90"/>
      <c r="CR181" s="90"/>
      <c r="CS181" s="90"/>
      <c r="CT181" s="85"/>
      <c r="CU181" s="85"/>
      <c r="CV181" s="85"/>
      <c r="CW181" s="85"/>
      <c r="CX181" s="85"/>
      <c r="CY181" s="85"/>
      <c r="CZ181" s="85"/>
      <c r="DA181" s="33">
        <f t="shared" si="2"/>
        <v>0</v>
      </c>
    </row>
    <row r="182" spans="36:105" ht="19" x14ac:dyDescent="0.25">
      <c r="AJ182" s="63"/>
      <c r="AK182" s="20"/>
      <c r="AL182" s="21"/>
      <c r="AM182" s="22"/>
      <c r="AN182" s="23"/>
      <c r="AO182" s="24"/>
      <c r="AP182" s="25"/>
      <c r="AQ182" s="26"/>
      <c r="AR182" s="27"/>
      <c r="AS182" s="192"/>
      <c r="AT182" s="111"/>
      <c r="AU182" s="193"/>
      <c r="AV182" s="140"/>
      <c r="AW182" s="118"/>
      <c r="AX182" s="141"/>
      <c r="AY182" s="149"/>
      <c r="AZ182" s="121"/>
      <c r="BA182" s="150"/>
      <c r="BB182" s="158"/>
      <c r="BC182" s="124"/>
      <c r="BD182" s="159"/>
      <c r="BE182" s="167"/>
      <c r="BF182" s="85"/>
      <c r="BG182" s="168"/>
      <c r="BH182" s="175"/>
      <c r="BI182" s="127"/>
      <c r="BJ182" s="176"/>
      <c r="BK182" s="184"/>
      <c r="BL182" s="130"/>
      <c r="BM182" s="185"/>
      <c r="BN182" s="69"/>
      <c r="BO182" s="85"/>
      <c r="BP182" s="85"/>
      <c r="BQ182" s="85"/>
      <c r="BR182" s="85"/>
      <c r="BS182" s="85"/>
      <c r="BT182" s="85"/>
      <c r="BU182" s="87"/>
      <c r="BV182" s="87"/>
      <c r="BW182" s="87"/>
      <c r="BX182" s="87"/>
      <c r="BY182" s="87"/>
      <c r="BZ182" s="87"/>
      <c r="CA182" s="90"/>
      <c r="CB182" s="90"/>
      <c r="CC182" s="90"/>
      <c r="CD182" s="90"/>
      <c r="CE182" s="90"/>
      <c r="CF182" s="90"/>
      <c r="CG182" s="85"/>
      <c r="CH182" s="85"/>
      <c r="CI182" s="85"/>
      <c r="CJ182" s="85"/>
      <c r="CK182" s="85"/>
      <c r="CL182" s="87"/>
      <c r="CM182" s="87"/>
      <c r="CN182" s="87"/>
      <c r="CO182" s="87"/>
      <c r="CP182" s="90"/>
      <c r="CQ182" s="90"/>
      <c r="CR182" s="90"/>
      <c r="CS182" s="90"/>
      <c r="CT182" s="85"/>
      <c r="CU182" s="85"/>
      <c r="CV182" s="85"/>
      <c r="CW182" s="85"/>
      <c r="CX182" s="85"/>
      <c r="CY182" s="85"/>
      <c r="CZ182" s="85"/>
      <c r="DA182" s="33">
        <f t="shared" si="2"/>
        <v>0</v>
      </c>
    </row>
    <row r="183" spans="36:105" ht="19" x14ac:dyDescent="0.25">
      <c r="AJ183" s="63"/>
      <c r="AK183" s="20"/>
      <c r="AL183" s="21"/>
      <c r="AM183" s="22"/>
      <c r="AN183" s="23"/>
      <c r="AO183" s="24"/>
      <c r="AP183" s="25"/>
      <c r="AQ183" s="26"/>
      <c r="AR183" s="27"/>
      <c r="AS183" s="192"/>
      <c r="AT183" s="111"/>
      <c r="AU183" s="193"/>
      <c r="AV183" s="140"/>
      <c r="AW183" s="118"/>
      <c r="AX183" s="141"/>
      <c r="AY183" s="149"/>
      <c r="AZ183" s="121"/>
      <c r="BA183" s="150"/>
      <c r="BB183" s="158"/>
      <c r="BC183" s="124"/>
      <c r="BD183" s="159"/>
      <c r="BE183" s="167"/>
      <c r="BF183" s="85"/>
      <c r="BG183" s="168"/>
      <c r="BH183" s="175"/>
      <c r="BI183" s="127"/>
      <c r="BJ183" s="176"/>
      <c r="BK183" s="184"/>
      <c r="BL183" s="130"/>
      <c r="BM183" s="185"/>
      <c r="BN183" s="69"/>
      <c r="BO183" s="85"/>
      <c r="BP183" s="85"/>
      <c r="BQ183" s="85"/>
      <c r="BR183" s="85"/>
      <c r="BS183" s="85"/>
      <c r="BT183" s="85"/>
      <c r="BU183" s="87"/>
      <c r="BV183" s="87"/>
      <c r="BW183" s="87"/>
      <c r="BX183" s="87"/>
      <c r="BY183" s="87"/>
      <c r="BZ183" s="87"/>
      <c r="CA183" s="90"/>
      <c r="CB183" s="90"/>
      <c r="CC183" s="90"/>
      <c r="CD183" s="90"/>
      <c r="CE183" s="90"/>
      <c r="CF183" s="90"/>
      <c r="CG183" s="85"/>
      <c r="CH183" s="85"/>
      <c r="CI183" s="85"/>
      <c r="CJ183" s="85"/>
      <c r="CK183" s="85"/>
      <c r="CL183" s="87"/>
      <c r="CM183" s="87"/>
      <c r="CN183" s="87"/>
      <c r="CO183" s="87"/>
      <c r="CP183" s="90"/>
      <c r="CQ183" s="90"/>
      <c r="CR183" s="90"/>
      <c r="CS183" s="90"/>
      <c r="CT183" s="85"/>
      <c r="CU183" s="85"/>
      <c r="CV183" s="85"/>
      <c r="CW183" s="85"/>
      <c r="CX183" s="85"/>
      <c r="CY183" s="85"/>
      <c r="CZ183" s="85"/>
      <c r="DA183" s="33">
        <f t="shared" si="2"/>
        <v>0</v>
      </c>
    </row>
    <row r="184" spans="36:105" ht="19" x14ac:dyDescent="0.25">
      <c r="AJ184" s="63"/>
      <c r="AK184" s="20"/>
      <c r="AL184" s="21"/>
      <c r="AM184" s="22"/>
      <c r="AN184" s="23"/>
      <c r="AO184" s="24"/>
      <c r="AP184" s="25"/>
      <c r="AQ184" s="26"/>
      <c r="AR184" s="27"/>
      <c r="AS184" s="192"/>
      <c r="AT184" s="111"/>
      <c r="AU184" s="193"/>
      <c r="AV184" s="140"/>
      <c r="AW184" s="118"/>
      <c r="AX184" s="141"/>
      <c r="AY184" s="149"/>
      <c r="AZ184" s="121"/>
      <c r="BA184" s="150"/>
      <c r="BB184" s="158"/>
      <c r="BC184" s="124"/>
      <c r="BD184" s="159"/>
      <c r="BE184" s="167"/>
      <c r="BF184" s="85"/>
      <c r="BG184" s="168"/>
      <c r="BH184" s="175"/>
      <c r="BI184" s="127"/>
      <c r="BJ184" s="176"/>
      <c r="BK184" s="184"/>
      <c r="BL184" s="130"/>
      <c r="BM184" s="185"/>
      <c r="BN184" s="69"/>
      <c r="BO184" s="85"/>
      <c r="BP184" s="85"/>
      <c r="BQ184" s="85"/>
      <c r="BR184" s="85"/>
      <c r="BS184" s="85"/>
      <c r="BT184" s="85"/>
      <c r="BU184" s="87"/>
      <c r="BV184" s="87"/>
      <c r="BW184" s="87"/>
      <c r="BX184" s="87"/>
      <c r="BY184" s="87"/>
      <c r="BZ184" s="87"/>
      <c r="CA184" s="90"/>
      <c r="CB184" s="90"/>
      <c r="CC184" s="90"/>
      <c r="CD184" s="90"/>
      <c r="CE184" s="90"/>
      <c r="CF184" s="90"/>
      <c r="CG184" s="85"/>
      <c r="CH184" s="85"/>
      <c r="CI184" s="85"/>
      <c r="CJ184" s="85"/>
      <c r="CK184" s="85"/>
      <c r="CL184" s="87"/>
      <c r="CM184" s="87"/>
      <c r="CN184" s="87"/>
      <c r="CO184" s="87"/>
      <c r="CP184" s="90"/>
      <c r="CQ184" s="90"/>
      <c r="CR184" s="90"/>
      <c r="CS184" s="90"/>
      <c r="CT184" s="85"/>
      <c r="CU184" s="85"/>
      <c r="CV184" s="85"/>
      <c r="CW184" s="85"/>
      <c r="CX184" s="85"/>
      <c r="CY184" s="85"/>
      <c r="CZ184" s="85"/>
      <c r="DA184" s="33">
        <f t="shared" si="2"/>
        <v>0</v>
      </c>
    </row>
    <row r="185" spans="36:105" ht="19" x14ac:dyDescent="0.25">
      <c r="AJ185" s="63"/>
      <c r="AK185" s="20"/>
      <c r="AL185" s="21"/>
      <c r="AM185" s="22"/>
      <c r="AN185" s="23"/>
      <c r="AO185" s="24"/>
      <c r="AP185" s="25"/>
      <c r="AQ185" s="26"/>
      <c r="AR185" s="27"/>
      <c r="AS185" s="192"/>
      <c r="AT185" s="111"/>
      <c r="AU185" s="193"/>
      <c r="AV185" s="140"/>
      <c r="AW185" s="118"/>
      <c r="AX185" s="141"/>
      <c r="AY185" s="149"/>
      <c r="AZ185" s="121"/>
      <c r="BA185" s="150"/>
      <c r="BB185" s="158"/>
      <c r="BC185" s="124"/>
      <c r="BD185" s="159"/>
      <c r="BE185" s="167"/>
      <c r="BF185" s="85"/>
      <c r="BG185" s="168"/>
      <c r="BH185" s="175"/>
      <c r="BI185" s="127"/>
      <c r="BJ185" s="176"/>
      <c r="BK185" s="184"/>
      <c r="BL185" s="130"/>
      <c r="BM185" s="185"/>
      <c r="BN185" s="69"/>
      <c r="BO185" s="85"/>
      <c r="BP185" s="85"/>
      <c r="BQ185" s="85"/>
      <c r="BR185" s="85"/>
      <c r="BS185" s="85"/>
      <c r="BT185" s="85"/>
      <c r="BU185" s="87"/>
      <c r="BV185" s="87"/>
      <c r="BW185" s="87"/>
      <c r="BX185" s="87"/>
      <c r="BY185" s="87"/>
      <c r="BZ185" s="87"/>
      <c r="CA185" s="90"/>
      <c r="CB185" s="90"/>
      <c r="CC185" s="90"/>
      <c r="CD185" s="90"/>
      <c r="CE185" s="90"/>
      <c r="CF185" s="90"/>
      <c r="CG185" s="85"/>
      <c r="CH185" s="85"/>
      <c r="CI185" s="85"/>
      <c r="CJ185" s="85"/>
      <c r="CK185" s="85"/>
      <c r="CL185" s="87"/>
      <c r="CM185" s="87"/>
      <c r="CN185" s="87"/>
      <c r="CO185" s="87"/>
      <c r="CP185" s="90"/>
      <c r="CQ185" s="90"/>
      <c r="CR185" s="90"/>
      <c r="CS185" s="90"/>
      <c r="CT185" s="85"/>
      <c r="CU185" s="85"/>
      <c r="CV185" s="85"/>
      <c r="CW185" s="85"/>
      <c r="CX185" s="85"/>
      <c r="CY185" s="85"/>
      <c r="CZ185" s="85"/>
      <c r="DA185" s="33">
        <f t="shared" si="2"/>
        <v>0</v>
      </c>
    </row>
    <row r="186" spans="36:105" ht="19" x14ac:dyDescent="0.25">
      <c r="AJ186" s="63"/>
      <c r="AK186" s="20"/>
      <c r="AL186" s="21"/>
      <c r="AM186" s="22"/>
      <c r="AN186" s="23"/>
      <c r="AO186" s="24"/>
      <c r="AP186" s="25"/>
      <c r="AQ186" s="26"/>
      <c r="AR186" s="27"/>
      <c r="AS186" s="192"/>
      <c r="AT186" s="111"/>
      <c r="AU186" s="193"/>
      <c r="AV186" s="140"/>
      <c r="AW186" s="118"/>
      <c r="AX186" s="141"/>
      <c r="AY186" s="149"/>
      <c r="AZ186" s="121"/>
      <c r="BA186" s="150"/>
      <c r="BB186" s="158"/>
      <c r="BC186" s="124"/>
      <c r="BD186" s="159"/>
      <c r="BE186" s="167"/>
      <c r="BF186" s="85"/>
      <c r="BG186" s="168"/>
      <c r="BH186" s="175"/>
      <c r="BI186" s="127"/>
      <c r="BJ186" s="176"/>
      <c r="BK186" s="184"/>
      <c r="BL186" s="130"/>
      <c r="BM186" s="185"/>
      <c r="BN186" s="69"/>
      <c r="BO186" s="85"/>
      <c r="BP186" s="85"/>
      <c r="BQ186" s="85"/>
      <c r="BR186" s="85"/>
      <c r="BS186" s="85"/>
      <c r="BT186" s="85"/>
      <c r="BU186" s="87"/>
      <c r="BV186" s="87"/>
      <c r="BW186" s="87"/>
      <c r="BX186" s="87"/>
      <c r="BY186" s="87"/>
      <c r="BZ186" s="87"/>
      <c r="CA186" s="90"/>
      <c r="CB186" s="90"/>
      <c r="CC186" s="90"/>
      <c r="CD186" s="90"/>
      <c r="CE186" s="90"/>
      <c r="CF186" s="90"/>
      <c r="CG186" s="85"/>
      <c r="CH186" s="85"/>
      <c r="CI186" s="85"/>
      <c r="CJ186" s="85"/>
      <c r="CK186" s="85"/>
      <c r="CL186" s="87"/>
      <c r="CM186" s="87"/>
      <c r="CN186" s="87"/>
      <c r="CO186" s="87"/>
      <c r="CP186" s="90"/>
      <c r="CQ186" s="90"/>
      <c r="CR186" s="90"/>
      <c r="CS186" s="90"/>
      <c r="CT186" s="85"/>
      <c r="CU186" s="85"/>
      <c r="CV186" s="85"/>
      <c r="CW186" s="85"/>
      <c r="CX186" s="85"/>
      <c r="CY186" s="85"/>
      <c r="CZ186" s="85"/>
      <c r="DA186" s="33">
        <f t="shared" si="2"/>
        <v>0</v>
      </c>
    </row>
    <row r="187" spans="36:105" ht="19" x14ac:dyDescent="0.25">
      <c r="AJ187" s="63"/>
      <c r="AK187" s="20"/>
      <c r="AL187" s="21"/>
      <c r="AM187" s="22"/>
      <c r="AN187" s="23"/>
      <c r="AO187" s="24"/>
      <c r="AP187" s="25"/>
      <c r="AQ187" s="26"/>
      <c r="AR187" s="27"/>
      <c r="AS187" s="192"/>
      <c r="AT187" s="111"/>
      <c r="AU187" s="193"/>
      <c r="AV187" s="140"/>
      <c r="AW187" s="118"/>
      <c r="AX187" s="141"/>
      <c r="AY187" s="149"/>
      <c r="AZ187" s="121"/>
      <c r="BA187" s="150"/>
      <c r="BB187" s="158"/>
      <c r="BC187" s="124"/>
      <c r="BD187" s="159"/>
      <c r="BE187" s="167"/>
      <c r="BF187" s="85"/>
      <c r="BG187" s="168"/>
      <c r="BH187" s="175"/>
      <c r="BI187" s="127"/>
      <c r="BJ187" s="176"/>
      <c r="BK187" s="184"/>
      <c r="BL187" s="130"/>
      <c r="BM187" s="185"/>
      <c r="BN187" s="69"/>
      <c r="BO187" s="85"/>
      <c r="BP187" s="85"/>
      <c r="BQ187" s="85"/>
      <c r="BR187" s="85"/>
      <c r="BS187" s="85"/>
      <c r="BT187" s="85"/>
      <c r="BU187" s="87"/>
      <c r="BV187" s="87"/>
      <c r="BW187" s="87"/>
      <c r="BX187" s="87"/>
      <c r="BY187" s="87"/>
      <c r="BZ187" s="87"/>
      <c r="CA187" s="90"/>
      <c r="CB187" s="90"/>
      <c r="CC187" s="90"/>
      <c r="CD187" s="90"/>
      <c r="CE187" s="90"/>
      <c r="CF187" s="90"/>
      <c r="CG187" s="85"/>
      <c r="CH187" s="85"/>
      <c r="CI187" s="85"/>
      <c r="CJ187" s="85"/>
      <c r="CK187" s="85"/>
      <c r="CL187" s="87"/>
      <c r="CM187" s="87"/>
      <c r="CN187" s="87"/>
      <c r="CO187" s="87"/>
      <c r="CP187" s="90"/>
      <c r="CQ187" s="90"/>
      <c r="CR187" s="90"/>
      <c r="CS187" s="90"/>
      <c r="CT187" s="85"/>
      <c r="CU187" s="85"/>
      <c r="CV187" s="85"/>
      <c r="CW187" s="85"/>
      <c r="CX187" s="85"/>
      <c r="CY187" s="85"/>
      <c r="CZ187" s="85"/>
      <c r="DA187" s="33">
        <f t="shared" si="2"/>
        <v>0</v>
      </c>
    </row>
    <row r="188" spans="36:105" ht="19" x14ac:dyDescent="0.25">
      <c r="AJ188" s="63"/>
      <c r="AK188" s="20"/>
      <c r="AL188" s="21"/>
      <c r="AM188" s="22"/>
      <c r="AN188" s="23"/>
      <c r="AO188" s="24"/>
      <c r="AP188" s="25"/>
      <c r="AQ188" s="26"/>
      <c r="AR188" s="27"/>
      <c r="AS188" s="192"/>
      <c r="AT188" s="111"/>
      <c r="AU188" s="193"/>
      <c r="AV188" s="140"/>
      <c r="AW188" s="118"/>
      <c r="AX188" s="141"/>
      <c r="AY188" s="149"/>
      <c r="AZ188" s="121"/>
      <c r="BA188" s="150"/>
      <c r="BB188" s="158"/>
      <c r="BC188" s="124"/>
      <c r="BD188" s="159"/>
      <c r="BE188" s="167"/>
      <c r="BF188" s="85"/>
      <c r="BG188" s="168"/>
      <c r="BH188" s="175"/>
      <c r="BI188" s="127"/>
      <c r="BJ188" s="176"/>
      <c r="BK188" s="184"/>
      <c r="BL188" s="130"/>
      <c r="BM188" s="185"/>
      <c r="BN188" s="69"/>
      <c r="BO188" s="85"/>
      <c r="BP188" s="85"/>
      <c r="BQ188" s="85"/>
      <c r="BR188" s="85"/>
      <c r="BS188" s="85"/>
      <c r="BT188" s="85"/>
      <c r="BU188" s="87"/>
      <c r="BV188" s="87"/>
      <c r="BW188" s="87"/>
      <c r="BX188" s="87"/>
      <c r="BY188" s="87"/>
      <c r="BZ188" s="87"/>
      <c r="CA188" s="90"/>
      <c r="CB188" s="90"/>
      <c r="CC188" s="90"/>
      <c r="CD188" s="90"/>
      <c r="CE188" s="90"/>
      <c r="CF188" s="90"/>
      <c r="CG188" s="85"/>
      <c r="CH188" s="85"/>
      <c r="CI188" s="85"/>
      <c r="CJ188" s="85"/>
      <c r="CK188" s="85"/>
      <c r="CL188" s="87"/>
      <c r="CM188" s="87"/>
      <c r="CN188" s="87"/>
      <c r="CO188" s="87"/>
      <c r="CP188" s="90"/>
      <c r="CQ188" s="90"/>
      <c r="CR188" s="90"/>
      <c r="CS188" s="90"/>
      <c r="CT188" s="85"/>
      <c r="CU188" s="85"/>
      <c r="CV188" s="85"/>
      <c r="CW188" s="85"/>
      <c r="CX188" s="85"/>
      <c r="CY188" s="85"/>
      <c r="CZ188" s="85"/>
      <c r="DA188" s="33">
        <f t="shared" si="2"/>
        <v>0</v>
      </c>
    </row>
    <row r="189" spans="36:105" ht="19" x14ac:dyDescent="0.25">
      <c r="AJ189" s="63"/>
      <c r="AK189" s="20"/>
      <c r="AL189" s="21"/>
      <c r="AM189" s="22"/>
      <c r="AN189" s="23"/>
      <c r="AO189" s="24"/>
      <c r="AP189" s="25"/>
      <c r="AQ189" s="26"/>
      <c r="AR189" s="27"/>
      <c r="AS189" s="192"/>
      <c r="AT189" s="111"/>
      <c r="AU189" s="193"/>
      <c r="AV189" s="140"/>
      <c r="AW189" s="118"/>
      <c r="AX189" s="141"/>
      <c r="AY189" s="149"/>
      <c r="AZ189" s="121"/>
      <c r="BA189" s="150"/>
      <c r="BB189" s="158"/>
      <c r="BC189" s="124"/>
      <c r="BD189" s="159"/>
      <c r="BE189" s="167"/>
      <c r="BF189" s="85"/>
      <c r="BG189" s="168"/>
      <c r="BH189" s="175"/>
      <c r="BI189" s="127"/>
      <c r="BJ189" s="176"/>
      <c r="BK189" s="184"/>
      <c r="BL189" s="130"/>
      <c r="BM189" s="185"/>
      <c r="BN189" s="69"/>
      <c r="BO189" s="85"/>
      <c r="BP189" s="85"/>
      <c r="BQ189" s="85"/>
      <c r="BR189" s="85"/>
      <c r="BS189" s="85"/>
      <c r="BT189" s="85"/>
      <c r="BU189" s="87"/>
      <c r="BV189" s="87"/>
      <c r="BW189" s="87"/>
      <c r="BX189" s="87"/>
      <c r="BY189" s="87"/>
      <c r="BZ189" s="87"/>
      <c r="CA189" s="90"/>
      <c r="CB189" s="90"/>
      <c r="CC189" s="90"/>
      <c r="CD189" s="90"/>
      <c r="CE189" s="90"/>
      <c r="CF189" s="90"/>
      <c r="CG189" s="85"/>
      <c r="CH189" s="85"/>
      <c r="CI189" s="85"/>
      <c r="CJ189" s="85"/>
      <c r="CK189" s="85"/>
      <c r="CL189" s="87"/>
      <c r="CM189" s="87"/>
      <c r="CN189" s="87"/>
      <c r="CO189" s="87"/>
      <c r="CP189" s="90"/>
      <c r="CQ189" s="90"/>
      <c r="CR189" s="90"/>
      <c r="CS189" s="90"/>
      <c r="CT189" s="85"/>
      <c r="CU189" s="85"/>
      <c r="CV189" s="85"/>
      <c r="CW189" s="85"/>
      <c r="CX189" s="85"/>
      <c r="CY189" s="85"/>
      <c r="CZ189" s="85"/>
      <c r="DA189" s="33">
        <f t="shared" si="2"/>
        <v>0</v>
      </c>
    </row>
    <row r="190" spans="36:105" ht="19" x14ac:dyDescent="0.25">
      <c r="AJ190" s="63"/>
      <c r="AK190" s="20"/>
      <c r="AL190" s="21"/>
      <c r="AM190" s="22"/>
      <c r="AN190" s="23"/>
      <c r="AO190" s="24"/>
      <c r="AP190" s="25"/>
      <c r="AQ190" s="26"/>
      <c r="AR190" s="27"/>
      <c r="AS190" s="192"/>
      <c r="AT190" s="111"/>
      <c r="AU190" s="193"/>
      <c r="AV190" s="140"/>
      <c r="AW190" s="118"/>
      <c r="AX190" s="141"/>
      <c r="AY190" s="149"/>
      <c r="AZ190" s="121"/>
      <c r="BA190" s="150"/>
      <c r="BB190" s="158"/>
      <c r="BC190" s="124"/>
      <c r="BD190" s="159"/>
      <c r="BE190" s="167"/>
      <c r="BF190" s="85"/>
      <c r="BG190" s="168"/>
      <c r="BH190" s="175"/>
      <c r="BI190" s="127"/>
      <c r="BJ190" s="176"/>
      <c r="BK190" s="184"/>
      <c r="BL190" s="130"/>
      <c r="BM190" s="185"/>
      <c r="BN190" s="69"/>
      <c r="BO190" s="85"/>
      <c r="BP190" s="85"/>
      <c r="BQ190" s="85"/>
      <c r="BR190" s="85"/>
      <c r="BS190" s="85"/>
      <c r="BT190" s="85"/>
      <c r="BU190" s="87"/>
      <c r="BV190" s="87"/>
      <c r="BW190" s="87"/>
      <c r="BX190" s="87"/>
      <c r="BY190" s="87"/>
      <c r="BZ190" s="87"/>
      <c r="CA190" s="90"/>
      <c r="CB190" s="90"/>
      <c r="CC190" s="90"/>
      <c r="CD190" s="90"/>
      <c r="CE190" s="90"/>
      <c r="CF190" s="90"/>
      <c r="CG190" s="85"/>
      <c r="CH190" s="85"/>
      <c r="CI190" s="85"/>
      <c r="CJ190" s="85"/>
      <c r="CK190" s="85"/>
      <c r="CL190" s="87"/>
      <c r="CM190" s="87"/>
      <c r="CN190" s="87"/>
      <c r="CO190" s="87"/>
      <c r="CP190" s="90"/>
      <c r="CQ190" s="90"/>
      <c r="CR190" s="90"/>
      <c r="CS190" s="90"/>
      <c r="CT190" s="85"/>
      <c r="CU190" s="85"/>
      <c r="CV190" s="85"/>
      <c r="CW190" s="85"/>
      <c r="CX190" s="85"/>
      <c r="CY190" s="85"/>
      <c r="CZ190" s="85"/>
      <c r="DA190" s="33">
        <f t="shared" si="2"/>
        <v>0</v>
      </c>
    </row>
    <row r="191" spans="36:105" ht="19" x14ac:dyDescent="0.25">
      <c r="AJ191" s="63"/>
      <c r="AK191" s="20"/>
      <c r="AL191" s="21"/>
      <c r="AM191" s="22"/>
      <c r="AN191" s="23"/>
      <c r="AO191" s="24"/>
      <c r="AP191" s="25"/>
      <c r="AQ191" s="26"/>
      <c r="AR191" s="27"/>
      <c r="AS191" s="192"/>
      <c r="AT191" s="111"/>
      <c r="AU191" s="193"/>
      <c r="AV191" s="140"/>
      <c r="AW191" s="118"/>
      <c r="AX191" s="141"/>
      <c r="AY191" s="149"/>
      <c r="AZ191" s="121"/>
      <c r="BA191" s="150"/>
      <c r="BB191" s="158"/>
      <c r="BC191" s="124"/>
      <c r="BD191" s="159"/>
      <c r="BE191" s="167"/>
      <c r="BF191" s="85"/>
      <c r="BG191" s="168"/>
      <c r="BH191" s="175"/>
      <c r="BI191" s="127"/>
      <c r="BJ191" s="176"/>
      <c r="BK191" s="184"/>
      <c r="BL191" s="130"/>
      <c r="BM191" s="185"/>
      <c r="BN191" s="69"/>
      <c r="BO191" s="85"/>
      <c r="BP191" s="85"/>
      <c r="BQ191" s="85"/>
      <c r="BR191" s="85"/>
      <c r="BS191" s="85"/>
      <c r="BT191" s="85"/>
      <c r="BU191" s="87"/>
      <c r="BV191" s="87"/>
      <c r="BW191" s="87"/>
      <c r="BX191" s="87"/>
      <c r="BY191" s="87"/>
      <c r="BZ191" s="87"/>
      <c r="CA191" s="90"/>
      <c r="CB191" s="90"/>
      <c r="CC191" s="90"/>
      <c r="CD191" s="90"/>
      <c r="CE191" s="90"/>
      <c r="CF191" s="90"/>
      <c r="CG191" s="85"/>
      <c r="CH191" s="85"/>
      <c r="CI191" s="85"/>
      <c r="CJ191" s="85"/>
      <c r="CK191" s="85"/>
      <c r="CL191" s="87"/>
      <c r="CM191" s="87"/>
      <c r="CN191" s="87"/>
      <c r="CO191" s="87"/>
      <c r="CP191" s="90"/>
      <c r="CQ191" s="90"/>
      <c r="CR191" s="90"/>
      <c r="CS191" s="90"/>
      <c r="CT191" s="85"/>
      <c r="CU191" s="85"/>
      <c r="CV191" s="85"/>
      <c r="CW191" s="85"/>
      <c r="CX191" s="85"/>
      <c r="CY191" s="85"/>
      <c r="CZ191" s="85"/>
      <c r="DA191" s="33">
        <f t="shared" si="2"/>
        <v>0</v>
      </c>
    </row>
    <row r="192" spans="36:105" ht="19" x14ac:dyDescent="0.25">
      <c r="AJ192" s="63"/>
      <c r="AK192" s="20"/>
      <c r="AL192" s="21"/>
      <c r="AM192" s="22"/>
      <c r="AN192" s="23"/>
      <c r="AO192" s="24"/>
      <c r="AP192" s="25"/>
      <c r="AQ192" s="26"/>
      <c r="AR192" s="27"/>
      <c r="AS192" s="192"/>
      <c r="AT192" s="111"/>
      <c r="AU192" s="193"/>
      <c r="AV192" s="140"/>
      <c r="AW192" s="118"/>
      <c r="AX192" s="141"/>
      <c r="AY192" s="149"/>
      <c r="AZ192" s="121"/>
      <c r="BA192" s="150"/>
      <c r="BB192" s="158"/>
      <c r="BC192" s="124"/>
      <c r="BD192" s="159"/>
      <c r="BE192" s="167"/>
      <c r="BF192" s="85"/>
      <c r="BG192" s="168"/>
      <c r="BH192" s="175"/>
      <c r="BI192" s="127"/>
      <c r="BJ192" s="176"/>
      <c r="BK192" s="184"/>
      <c r="BL192" s="130"/>
      <c r="BM192" s="185"/>
      <c r="BN192" s="69"/>
      <c r="BO192" s="85"/>
      <c r="BP192" s="85"/>
      <c r="BQ192" s="85"/>
      <c r="BR192" s="85"/>
      <c r="BS192" s="85"/>
      <c r="BT192" s="85"/>
      <c r="BU192" s="87"/>
      <c r="BV192" s="87"/>
      <c r="BW192" s="87"/>
      <c r="BX192" s="87"/>
      <c r="BY192" s="87"/>
      <c r="BZ192" s="87"/>
      <c r="CA192" s="90"/>
      <c r="CB192" s="90"/>
      <c r="CC192" s="90"/>
      <c r="CD192" s="90"/>
      <c r="CE192" s="90"/>
      <c r="CF192" s="90"/>
      <c r="CG192" s="85"/>
      <c r="CH192" s="85"/>
      <c r="CI192" s="85"/>
      <c r="CJ192" s="85"/>
      <c r="CK192" s="85"/>
      <c r="CL192" s="87"/>
      <c r="CM192" s="87"/>
      <c r="CN192" s="87"/>
      <c r="CO192" s="87"/>
      <c r="CP192" s="90"/>
      <c r="CQ192" s="90"/>
      <c r="CR192" s="90"/>
      <c r="CS192" s="90"/>
      <c r="CT192" s="85"/>
      <c r="CU192" s="85"/>
      <c r="CV192" s="85"/>
      <c r="CW192" s="85"/>
      <c r="CX192" s="85"/>
      <c r="CY192" s="85"/>
      <c r="CZ192" s="85"/>
      <c r="DA192" s="33">
        <f t="shared" si="2"/>
        <v>0</v>
      </c>
    </row>
    <row r="193" spans="36:105" ht="19" x14ac:dyDescent="0.25">
      <c r="AJ193" s="63"/>
      <c r="AK193" s="20"/>
      <c r="AL193" s="21"/>
      <c r="AM193" s="22"/>
      <c r="AN193" s="23"/>
      <c r="AO193" s="24"/>
      <c r="AP193" s="25"/>
      <c r="AQ193" s="26"/>
      <c r="AR193" s="27"/>
      <c r="AS193" s="192"/>
      <c r="AT193" s="111"/>
      <c r="AU193" s="193"/>
      <c r="AV193" s="140"/>
      <c r="AW193" s="118"/>
      <c r="AX193" s="141"/>
      <c r="AY193" s="149"/>
      <c r="AZ193" s="121"/>
      <c r="BA193" s="150"/>
      <c r="BB193" s="158"/>
      <c r="BC193" s="124"/>
      <c r="BD193" s="159"/>
      <c r="BE193" s="167"/>
      <c r="BF193" s="85"/>
      <c r="BG193" s="168"/>
      <c r="BH193" s="175"/>
      <c r="BI193" s="127"/>
      <c r="BJ193" s="176"/>
      <c r="BK193" s="184"/>
      <c r="BL193" s="130"/>
      <c r="BM193" s="185"/>
      <c r="BN193" s="69"/>
      <c r="BO193" s="85"/>
      <c r="BP193" s="85"/>
      <c r="BQ193" s="85"/>
      <c r="BR193" s="85"/>
      <c r="BS193" s="85"/>
      <c r="BT193" s="85"/>
      <c r="BU193" s="87"/>
      <c r="BV193" s="87"/>
      <c r="BW193" s="87"/>
      <c r="BX193" s="87"/>
      <c r="BY193" s="87"/>
      <c r="BZ193" s="87"/>
      <c r="CA193" s="90"/>
      <c r="CB193" s="90"/>
      <c r="CC193" s="90"/>
      <c r="CD193" s="90"/>
      <c r="CE193" s="90"/>
      <c r="CF193" s="90"/>
      <c r="CG193" s="85"/>
      <c r="CH193" s="85"/>
      <c r="CI193" s="85"/>
      <c r="CJ193" s="85"/>
      <c r="CK193" s="85"/>
      <c r="CL193" s="87"/>
      <c r="CM193" s="87"/>
      <c r="CN193" s="87"/>
      <c r="CO193" s="87"/>
      <c r="CP193" s="90"/>
      <c r="CQ193" s="90"/>
      <c r="CR193" s="90"/>
      <c r="CS193" s="90"/>
      <c r="CT193" s="85"/>
      <c r="CU193" s="85"/>
      <c r="CV193" s="85"/>
      <c r="CW193" s="85"/>
      <c r="CX193" s="85"/>
      <c r="CY193" s="85"/>
      <c r="CZ193" s="85"/>
      <c r="DA193" s="33">
        <f t="shared" si="2"/>
        <v>0</v>
      </c>
    </row>
    <row r="194" spans="36:105" ht="19" x14ac:dyDescent="0.25">
      <c r="AJ194" s="63"/>
      <c r="AK194" s="20"/>
      <c r="AL194" s="21"/>
      <c r="AM194" s="22"/>
      <c r="AN194" s="23"/>
      <c r="AO194" s="24"/>
      <c r="AP194" s="25"/>
      <c r="AQ194" s="26"/>
      <c r="AR194" s="27"/>
      <c r="AS194" s="192"/>
      <c r="AT194" s="111"/>
      <c r="AU194" s="193"/>
      <c r="AV194" s="140"/>
      <c r="AW194" s="118"/>
      <c r="AX194" s="141"/>
      <c r="AY194" s="149"/>
      <c r="AZ194" s="121"/>
      <c r="BA194" s="150"/>
      <c r="BB194" s="158"/>
      <c r="BC194" s="124"/>
      <c r="BD194" s="159"/>
      <c r="BE194" s="167"/>
      <c r="BF194" s="85"/>
      <c r="BG194" s="168"/>
      <c r="BH194" s="175"/>
      <c r="BI194" s="127"/>
      <c r="BJ194" s="176"/>
      <c r="BK194" s="184"/>
      <c r="BL194" s="130"/>
      <c r="BM194" s="185"/>
      <c r="BN194" s="69"/>
      <c r="BO194" s="85"/>
      <c r="BP194" s="85"/>
      <c r="BQ194" s="85"/>
      <c r="BR194" s="85"/>
      <c r="BS194" s="85"/>
      <c r="BT194" s="85"/>
      <c r="BU194" s="87"/>
      <c r="BV194" s="87"/>
      <c r="BW194" s="87"/>
      <c r="BX194" s="87"/>
      <c r="BY194" s="87"/>
      <c r="BZ194" s="87"/>
      <c r="CA194" s="90"/>
      <c r="CB194" s="90"/>
      <c r="CC194" s="90"/>
      <c r="CD194" s="90"/>
      <c r="CE194" s="90"/>
      <c r="CF194" s="90"/>
      <c r="CG194" s="85"/>
      <c r="CH194" s="85"/>
      <c r="CI194" s="85"/>
      <c r="CJ194" s="85"/>
      <c r="CK194" s="85"/>
      <c r="CL194" s="87"/>
      <c r="CM194" s="87"/>
      <c r="CN194" s="87"/>
      <c r="CO194" s="87"/>
      <c r="CP194" s="90"/>
      <c r="CQ194" s="90"/>
      <c r="CR194" s="90"/>
      <c r="CS194" s="90"/>
      <c r="CT194" s="85"/>
      <c r="CU194" s="85"/>
      <c r="CV194" s="85"/>
      <c r="CW194" s="85"/>
      <c r="CX194" s="85"/>
      <c r="CY194" s="85"/>
      <c r="CZ194" s="85"/>
      <c r="DA194" s="33">
        <f t="shared" si="2"/>
        <v>0</v>
      </c>
    </row>
    <row r="195" spans="36:105" ht="19" x14ac:dyDescent="0.25">
      <c r="AJ195" s="63"/>
      <c r="AK195" s="20"/>
      <c r="AL195" s="21"/>
      <c r="AM195" s="22"/>
      <c r="AN195" s="23"/>
      <c r="AO195" s="24"/>
      <c r="AP195" s="25"/>
      <c r="AQ195" s="26"/>
      <c r="AR195" s="27"/>
      <c r="AS195" s="192"/>
      <c r="AT195" s="111"/>
      <c r="AU195" s="193"/>
      <c r="AV195" s="140"/>
      <c r="AW195" s="118"/>
      <c r="AX195" s="141"/>
      <c r="AY195" s="149"/>
      <c r="AZ195" s="121"/>
      <c r="BA195" s="150"/>
      <c r="BB195" s="158"/>
      <c r="BC195" s="124"/>
      <c r="BD195" s="159"/>
      <c r="BE195" s="167"/>
      <c r="BF195" s="85"/>
      <c r="BG195" s="168"/>
      <c r="BH195" s="175"/>
      <c r="BI195" s="127"/>
      <c r="BJ195" s="176"/>
      <c r="BK195" s="184"/>
      <c r="BL195" s="130"/>
      <c r="BM195" s="185"/>
      <c r="BN195" s="69"/>
      <c r="BO195" s="85"/>
      <c r="BP195" s="85"/>
      <c r="BQ195" s="85"/>
      <c r="BR195" s="85"/>
      <c r="BS195" s="85"/>
      <c r="BT195" s="85"/>
      <c r="BU195" s="87"/>
      <c r="BV195" s="87"/>
      <c r="BW195" s="87"/>
      <c r="BX195" s="87"/>
      <c r="BY195" s="87"/>
      <c r="BZ195" s="87"/>
      <c r="CA195" s="90"/>
      <c r="CB195" s="90"/>
      <c r="CC195" s="90"/>
      <c r="CD195" s="90"/>
      <c r="CE195" s="90"/>
      <c r="CF195" s="90"/>
      <c r="CG195" s="85"/>
      <c r="CH195" s="85"/>
      <c r="CI195" s="85"/>
      <c r="CJ195" s="85"/>
      <c r="CK195" s="85"/>
      <c r="CL195" s="87"/>
      <c r="CM195" s="87"/>
      <c r="CN195" s="87"/>
      <c r="CO195" s="87"/>
      <c r="CP195" s="90"/>
      <c r="CQ195" s="90"/>
      <c r="CR195" s="90"/>
      <c r="CS195" s="90"/>
      <c r="CT195" s="85"/>
      <c r="CU195" s="85"/>
      <c r="CV195" s="85"/>
      <c r="CW195" s="85"/>
      <c r="CX195" s="85"/>
      <c r="CY195" s="85"/>
      <c r="CZ195" s="85"/>
      <c r="DA195" s="33">
        <f t="shared" si="2"/>
        <v>0</v>
      </c>
    </row>
    <row r="196" spans="36:105" ht="19" x14ac:dyDescent="0.25">
      <c r="AJ196" s="63"/>
      <c r="AK196" s="20"/>
      <c r="AL196" s="21"/>
      <c r="AM196" s="22"/>
      <c r="AN196" s="23"/>
      <c r="AO196" s="24"/>
      <c r="AP196" s="25"/>
      <c r="AQ196" s="26"/>
      <c r="AR196" s="27"/>
      <c r="AS196" s="192"/>
      <c r="AT196" s="111"/>
      <c r="AU196" s="193"/>
      <c r="AV196" s="140"/>
      <c r="AW196" s="118"/>
      <c r="AX196" s="141"/>
      <c r="AY196" s="149"/>
      <c r="AZ196" s="121"/>
      <c r="BA196" s="150"/>
      <c r="BB196" s="158"/>
      <c r="BC196" s="124"/>
      <c r="BD196" s="159"/>
      <c r="BE196" s="167"/>
      <c r="BF196" s="85"/>
      <c r="BG196" s="168"/>
      <c r="BH196" s="175"/>
      <c r="BI196" s="127"/>
      <c r="BJ196" s="176"/>
      <c r="BK196" s="184"/>
      <c r="BL196" s="130"/>
      <c r="BM196" s="185"/>
      <c r="BN196" s="69"/>
      <c r="BO196" s="85"/>
      <c r="BP196" s="85"/>
      <c r="BQ196" s="85"/>
      <c r="BR196" s="85"/>
      <c r="BS196" s="85"/>
      <c r="BT196" s="85"/>
      <c r="BU196" s="87"/>
      <c r="BV196" s="87"/>
      <c r="BW196" s="87"/>
      <c r="BX196" s="87"/>
      <c r="BY196" s="87"/>
      <c r="BZ196" s="87"/>
      <c r="CA196" s="90"/>
      <c r="CB196" s="90"/>
      <c r="CC196" s="90"/>
      <c r="CD196" s="90"/>
      <c r="CE196" s="90"/>
      <c r="CF196" s="90"/>
      <c r="CG196" s="85"/>
      <c r="CH196" s="85"/>
      <c r="CI196" s="85"/>
      <c r="CJ196" s="85"/>
      <c r="CK196" s="85"/>
      <c r="CL196" s="87"/>
      <c r="CM196" s="87"/>
      <c r="CN196" s="87"/>
      <c r="CO196" s="87"/>
      <c r="CP196" s="90"/>
      <c r="CQ196" s="90"/>
      <c r="CR196" s="90"/>
      <c r="CS196" s="90"/>
      <c r="CT196" s="85"/>
      <c r="CU196" s="85"/>
      <c r="CV196" s="85"/>
      <c r="CW196" s="85"/>
      <c r="CX196" s="85"/>
      <c r="CY196" s="85"/>
      <c r="CZ196" s="85"/>
      <c r="DA196" s="33">
        <f t="shared" si="2"/>
        <v>0</v>
      </c>
    </row>
    <row r="197" spans="36:105" ht="19" x14ac:dyDescent="0.25">
      <c r="AJ197" s="63"/>
      <c r="AK197" s="20"/>
      <c r="AL197" s="21"/>
      <c r="AM197" s="22"/>
      <c r="AN197" s="23"/>
      <c r="AO197" s="24"/>
      <c r="AP197" s="25"/>
      <c r="AQ197" s="26"/>
      <c r="AR197" s="27"/>
      <c r="AS197" s="192"/>
      <c r="AT197" s="111"/>
      <c r="AU197" s="193"/>
      <c r="AV197" s="140"/>
      <c r="AW197" s="118"/>
      <c r="AX197" s="141"/>
      <c r="AY197" s="149"/>
      <c r="AZ197" s="121"/>
      <c r="BA197" s="150"/>
      <c r="BB197" s="158"/>
      <c r="BC197" s="124"/>
      <c r="BD197" s="159"/>
      <c r="BE197" s="167"/>
      <c r="BF197" s="85"/>
      <c r="BG197" s="168"/>
      <c r="BH197" s="175"/>
      <c r="BI197" s="127"/>
      <c r="BJ197" s="176"/>
      <c r="BK197" s="184"/>
      <c r="BL197" s="130"/>
      <c r="BM197" s="185"/>
      <c r="BN197" s="69"/>
      <c r="BO197" s="85"/>
      <c r="BP197" s="85"/>
      <c r="BQ197" s="85"/>
      <c r="BR197" s="85"/>
      <c r="BS197" s="85"/>
      <c r="BT197" s="85"/>
      <c r="BU197" s="87"/>
      <c r="BV197" s="87"/>
      <c r="BW197" s="87"/>
      <c r="BX197" s="87"/>
      <c r="BY197" s="87"/>
      <c r="BZ197" s="87"/>
      <c r="CA197" s="90"/>
      <c r="CB197" s="90"/>
      <c r="CC197" s="90"/>
      <c r="CD197" s="90"/>
      <c r="CE197" s="90"/>
      <c r="CF197" s="90"/>
      <c r="CG197" s="85"/>
      <c r="CH197" s="85"/>
      <c r="CI197" s="85"/>
      <c r="CJ197" s="85"/>
      <c r="CK197" s="85"/>
      <c r="CL197" s="87"/>
      <c r="CM197" s="87"/>
      <c r="CN197" s="87"/>
      <c r="CO197" s="87"/>
      <c r="CP197" s="90"/>
      <c r="CQ197" s="90"/>
      <c r="CR197" s="90"/>
      <c r="CS197" s="90"/>
      <c r="CT197" s="85"/>
      <c r="CU197" s="85"/>
      <c r="CV197" s="85"/>
      <c r="CW197" s="85"/>
      <c r="CX197" s="85"/>
      <c r="CY197" s="85"/>
      <c r="CZ197" s="85"/>
      <c r="DA197" s="33">
        <f t="shared" si="2"/>
        <v>0</v>
      </c>
    </row>
    <row r="198" spans="36:105" ht="19" x14ac:dyDescent="0.25">
      <c r="AJ198" s="63"/>
      <c r="AK198" s="20"/>
      <c r="AL198" s="21"/>
      <c r="AM198" s="22"/>
      <c r="AN198" s="23"/>
      <c r="AO198" s="24"/>
      <c r="AP198" s="25"/>
      <c r="AQ198" s="26"/>
      <c r="AR198" s="27"/>
      <c r="AS198" s="192"/>
      <c r="AT198" s="111"/>
      <c r="AU198" s="193"/>
      <c r="AV198" s="140"/>
      <c r="AW198" s="118"/>
      <c r="AX198" s="141"/>
      <c r="AY198" s="149"/>
      <c r="AZ198" s="121"/>
      <c r="BA198" s="150"/>
      <c r="BB198" s="158"/>
      <c r="BC198" s="124"/>
      <c r="BD198" s="159"/>
      <c r="BE198" s="167"/>
      <c r="BF198" s="85"/>
      <c r="BG198" s="168"/>
      <c r="BH198" s="175"/>
      <c r="BI198" s="127"/>
      <c r="BJ198" s="176"/>
      <c r="BK198" s="184"/>
      <c r="BL198" s="130"/>
      <c r="BM198" s="185"/>
      <c r="BN198" s="69"/>
      <c r="BO198" s="85"/>
      <c r="BP198" s="85"/>
      <c r="BQ198" s="85"/>
      <c r="BR198" s="85"/>
      <c r="BS198" s="85"/>
      <c r="BT198" s="85"/>
      <c r="BU198" s="87"/>
      <c r="BV198" s="87"/>
      <c r="BW198" s="87"/>
      <c r="BX198" s="87"/>
      <c r="BY198" s="87"/>
      <c r="BZ198" s="87"/>
      <c r="CA198" s="90"/>
      <c r="CB198" s="90"/>
      <c r="CC198" s="90"/>
      <c r="CD198" s="90"/>
      <c r="CE198" s="90"/>
      <c r="CF198" s="90"/>
      <c r="CG198" s="85"/>
      <c r="CH198" s="85"/>
      <c r="CI198" s="85"/>
      <c r="CJ198" s="85"/>
      <c r="CK198" s="85"/>
      <c r="CL198" s="87"/>
      <c r="CM198" s="87"/>
      <c r="CN198" s="87"/>
      <c r="CO198" s="87"/>
      <c r="CP198" s="90"/>
      <c r="CQ198" s="90"/>
      <c r="CR198" s="90"/>
      <c r="CS198" s="90"/>
      <c r="CT198" s="85"/>
      <c r="CU198" s="85"/>
      <c r="CV198" s="85"/>
      <c r="CW198" s="85"/>
      <c r="CX198" s="85"/>
      <c r="CY198" s="85"/>
      <c r="CZ198" s="85"/>
      <c r="DA198" s="33">
        <f t="shared" si="2"/>
        <v>0</v>
      </c>
    </row>
    <row r="199" spans="36:105" ht="19" x14ac:dyDescent="0.25">
      <c r="AJ199" s="63"/>
      <c r="AK199" s="20"/>
      <c r="AL199" s="21"/>
      <c r="AM199" s="22"/>
      <c r="AN199" s="23"/>
      <c r="AO199" s="24"/>
      <c r="AP199" s="25"/>
      <c r="AQ199" s="26"/>
      <c r="AR199" s="27"/>
      <c r="AS199" s="192"/>
      <c r="AT199" s="111"/>
      <c r="AU199" s="193"/>
      <c r="AV199" s="140"/>
      <c r="AW199" s="118"/>
      <c r="AX199" s="141"/>
      <c r="AY199" s="149"/>
      <c r="AZ199" s="121"/>
      <c r="BA199" s="150"/>
      <c r="BB199" s="158"/>
      <c r="BC199" s="124"/>
      <c r="BD199" s="159"/>
      <c r="BE199" s="167"/>
      <c r="BF199" s="85"/>
      <c r="BG199" s="168"/>
      <c r="BH199" s="175"/>
      <c r="BI199" s="127"/>
      <c r="BJ199" s="176"/>
      <c r="BK199" s="184"/>
      <c r="BL199" s="130"/>
      <c r="BM199" s="185"/>
      <c r="BN199" s="69"/>
      <c r="BO199" s="85"/>
      <c r="BP199" s="85"/>
      <c r="BQ199" s="85"/>
      <c r="BR199" s="85"/>
      <c r="BS199" s="85"/>
      <c r="BT199" s="85"/>
      <c r="BU199" s="87"/>
      <c r="BV199" s="87"/>
      <c r="BW199" s="87"/>
      <c r="BX199" s="87"/>
      <c r="BY199" s="87"/>
      <c r="BZ199" s="87"/>
      <c r="CA199" s="90"/>
      <c r="CB199" s="90"/>
      <c r="CC199" s="90"/>
      <c r="CD199" s="90"/>
      <c r="CE199" s="90"/>
      <c r="CF199" s="90"/>
      <c r="CG199" s="85"/>
      <c r="CH199" s="85"/>
      <c r="CI199" s="85"/>
      <c r="CJ199" s="85"/>
      <c r="CK199" s="85"/>
      <c r="CL199" s="87"/>
      <c r="CM199" s="87"/>
      <c r="CN199" s="87"/>
      <c r="CO199" s="87"/>
      <c r="CP199" s="90"/>
      <c r="CQ199" s="90"/>
      <c r="CR199" s="90"/>
      <c r="CS199" s="90"/>
      <c r="CT199" s="85"/>
      <c r="CU199" s="85"/>
      <c r="CV199" s="85"/>
      <c r="CW199" s="85"/>
      <c r="CX199" s="85"/>
      <c r="CY199" s="85"/>
      <c r="CZ199" s="85"/>
      <c r="DA199" s="33">
        <f t="shared" si="2"/>
        <v>0</v>
      </c>
    </row>
    <row r="200" spans="36:105" ht="19" x14ac:dyDescent="0.25">
      <c r="AJ200" s="63"/>
      <c r="AK200" s="20"/>
      <c r="AL200" s="21"/>
      <c r="AM200" s="22"/>
      <c r="AN200" s="23"/>
      <c r="AO200" s="24"/>
      <c r="AP200" s="25"/>
      <c r="AQ200" s="26"/>
      <c r="AR200" s="27"/>
      <c r="AS200" s="192"/>
      <c r="AT200" s="111"/>
      <c r="AU200" s="193"/>
      <c r="AV200" s="140"/>
      <c r="AW200" s="118"/>
      <c r="AX200" s="141"/>
      <c r="AY200" s="149"/>
      <c r="AZ200" s="121"/>
      <c r="BA200" s="150"/>
      <c r="BB200" s="158"/>
      <c r="BC200" s="124"/>
      <c r="BD200" s="159"/>
      <c r="BE200" s="167"/>
      <c r="BF200" s="85"/>
      <c r="BG200" s="168"/>
      <c r="BH200" s="175"/>
      <c r="BI200" s="127"/>
      <c r="BJ200" s="176"/>
      <c r="BK200" s="184"/>
      <c r="BL200" s="130"/>
      <c r="BM200" s="185"/>
      <c r="BN200" s="69"/>
      <c r="BO200" s="85"/>
      <c r="BP200" s="85"/>
      <c r="BQ200" s="85"/>
      <c r="BR200" s="85"/>
      <c r="BS200" s="85"/>
      <c r="BT200" s="85"/>
      <c r="BU200" s="87"/>
      <c r="BV200" s="87"/>
      <c r="BW200" s="87"/>
      <c r="BX200" s="87"/>
      <c r="BY200" s="87"/>
      <c r="BZ200" s="87"/>
      <c r="CA200" s="90"/>
      <c r="CB200" s="90"/>
      <c r="CC200" s="90"/>
      <c r="CD200" s="90"/>
      <c r="CE200" s="90"/>
      <c r="CF200" s="90"/>
      <c r="CG200" s="85"/>
      <c r="CH200" s="85"/>
      <c r="CI200" s="85"/>
      <c r="CJ200" s="85"/>
      <c r="CK200" s="85"/>
      <c r="CL200" s="87"/>
      <c r="CM200" s="87"/>
      <c r="CN200" s="87"/>
      <c r="CO200" s="87"/>
      <c r="CP200" s="90"/>
      <c r="CQ200" s="90"/>
      <c r="CR200" s="90"/>
      <c r="CS200" s="90"/>
      <c r="CT200" s="85"/>
      <c r="CU200" s="85"/>
      <c r="CV200" s="85"/>
      <c r="CW200" s="85"/>
      <c r="CX200" s="85"/>
      <c r="CY200" s="85"/>
      <c r="CZ200" s="85"/>
      <c r="DA200" s="33">
        <f t="shared" si="2"/>
        <v>0</v>
      </c>
    </row>
    <row r="201" spans="36:105" ht="19" x14ac:dyDescent="0.25">
      <c r="AJ201" s="63"/>
      <c r="AK201" s="20"/>
      <c r="AL201" s="21"/>
      <c r="AM201" s="22"/>
      <c r="AN201" s="23"/>
      <c r="AO201" s="24"/>
      <c r="AP201" s="25"/>
      <c r="AQ201" s="26"/>
      <c r="AR201" s="27"/>
      <c r="AS201" s="192"/>
      <c r="AT201" s="111"/>
      <c r="AU201" s="193"/>
      <c r="AV201" s="140"/>
      <c r="AW201" s="118"/>
      <c r="AX201" s="141"/>
      <c r="AY201" s="149"/>
      <c r="AZ201" s="121"/>
      <c r="BA201" s="150"/>
      <c r="BB201" s="158"/>
      <c r="BC201" s="124"/>
      <c r="BD201" s="159"/>
      <c r="BE201" s="167"/>
      <c r="BF201" s="85"/>
      <c r="BG201" s="168"/>
      <c r="BH201" s="175"/>
      <c r="BI201" s="127"/>
      <c r="BJ201" s="176"/>
      <c r="BK201" s="184"/>
      <c r="BL201" s="130"/>
      <c r="BM201" s="185"/>
      <c r="BN201" s="69"/>
      <c r="BO201" s="85"/>
      <c r="BP201" s="85"/>
      <c r="BQ201" s="85"/>
      <c r="BR201" s="85"/>
      <c r="BS201" s="85"/>
      <c r="BT201" s="85"/>
      <c r="BU201" s="87"/>
      <c r="BV201" s="87"/>
      <c r="BW201" s="87"/>
      <c r="BX201" s="87"/>
      <c r="BY201" s="87"/>
      <c r="BZ201" s="87"/>
      <c r="CA201" s="90"/>
      <c r="CB201" s="90"/>
      <c r="CC201" s="90"/>
      <c r="CD201" s="90"/>
      <c r="CE201" s="90"/>
      <c r="CF201" s="90"/>
      <c r="CG201" s="85"/>
      <c r="CH201" s="85"/>
      <c r="CI201" s="85"/>
      <c r="CJ201" s="85"/>
      <c r="CK201" s="85"/>
      <c r="CL201" s="87"/>
      <c r="CM201" s="87"/>
      <c r="CN201" s="87"/>
      <c r="CO201" s="87"/>
      <c r="CP201" s="90"/>
      <c r="CQ201" s="90"/>
      <c r="CR201" s="90"/>
      <c r="CS201" s="90"/>
      <c r="CT201" s="85"/>
      <c r="CU201" s="85"/>
      <c r="CV201" s="85"/>
      <c r="CW201" s="85"/>
      <c r="CX201" s="85"/>
      <c r="CY201" s="85"/>
      <c r="CZ201" s="85"/>
      <c r="DA201" s="33">
        <f t="shared" si="2"/>
        <v>0</v>
      </c>
    </row>
    <row r="202" spans="36:105" ht="19" x14ac:dyDescent="0.25">
      <c r="AJ202" s="63"/>
      <c r="AK202" s="20"/>
      <c r="AL202" s="21"/>
      <c r="AM202" s="22"/>
      <c r="AN202" s="23"/>
      <c r="AO202" s="24"/>
      <c r="AP202" s="25"/>
      <c r="AQ202" s="26"/>
      <c r="AR202" s="27"/>
      <c r="AS202" s="192"/>
      <c r="AT202" s="111"/>
      <c r="AU202" s="193"/>
      <c r="AV202" s="140"/>
      <c r="AW202" s="118"/>
      <c r="AX202" s="141"/>
      <c r="AY202" s="149"/>
      <c r="AZ202" s="121"/>
      <c r="BA202" s="150"/>
      <c r="BB202" s="158"/>
      <c r="BC202" s="124"/>
      <c r="BD202" s="159"/>
      <c r="BE202" s="167"/>
      <c r="BF202" s="85"/>
      <c r="BG202" s="168"/>
      <c r="BH202" s="175"/>
      <c r="BI202" s="127"/>
      <c r="BJ202" s="176"/>
      <c r="BK202" s="184"/>
      <c r="BL202" s="130"/>
      <c r="BM202" s="185"/>
      <c r="BN202" s="69"/>
      <c r="BO202" s="85"/>
      <c r="BP202" s="85"/>
      <c r="BQ202" s="85"/>
      <c r="BR202" s="85"/>
      <c r="BS202" s="85"/>
      <c r="BT202" s="85"/>
      <c r="BU202" s="87"/>
      <c r="BV202" s="87"/>
      <c r="BW202" s="87"/>
      <c r="BX202" s="87"/>
      <c r="BY202" s="87"/>
      <c r="BZ202" s="87"/>
      <c r="CA202" s="90"/>
      <c r="CB202" s="90"/>
      <c r="CC202" s="90"/>
      <c r="CD202" s="90"/>
      <c r="CE202" s="90"/>
      <c r="CF202" s="90"/>
      <c r="CG202" s="85"/>
      <c r="CH202" s="85"/>
      <c r="CI202" s="85"/>
      <c r="CJ202" s="85"/>
      <c r="CK202" s="85"/>
      <c r="CL202" s="87"/>
      <c r="CM202" s="87"/>
      <c r="CN202" s="87"/>
      <c r="CO202" s="87"/>
      <c r="CP202" s="90"/>
      <c r="CQ202" s="90"/>
      <c r="CR202" s="90"/>
      <c r="CS202" s="90"/>
      <c r="CT202" s="85"/>
      <c r="CU202" s="85"/>
      <c r="CV202" s="85"/>
      <c r="CW202" s="85"/>
      <c r="CX202" s="85"/>
      <c r="CY202" s="85"/>
      <c r="CZ202" s="85"/>
      <c r="DA202" s="33">
        <f t="shared" si="2"/>
        <v>0</v>
      </c>
    </row>
    <row r="203" spans="36:105" ht="19" x14ac:dyDescent="0.25">
      <c r="AJ203" s="63"/>
      <c r="AK203" s="20"/>
      <c r="AL203" s="21"/>
      <c r="AM203" s="22"/>
      <c r="AN203" s="23"/>
      <c r="AO203" s="24"/>
      <c r="AP203" s="25"/>
      <c r="AQ203" s="26"/>
      <c r="AR203" s="27"/>
      <c r="AS203" s="192"/>
      <c r="AT203" s="111"/>
      <c r="AU203" s="193"/>
      <c r="AV203" s="140"/>
      <c r="AW203" s="118"/>
      <c r="AX203" s="141"/>
      <c r="AY203" s="149"/>
      <c r="AZ203" s="121"/>
      <c r="BA203" s="150"/>
      <c r="BB203" s="158"/>
      <c r="BC203" s="124"/>
      <c r="BD203" s="159"/>
      <c r="BE203" s="167"/>
      <c r="BF203" s="85"/>
      <c r="BG203" s="168"/>
      <c r="BH203" s="175"/>
      <c r="BI203" s="127"/>
      <c r="BJ203" s="176"/>
      <c r="BK203" s="184"/>
      <c r="BL203" s="130"/>
      <c r="BM203" s="185"/>
      <c r="BN203" s="69"/>
      <c r="BO203" s="85"/>
      <c r="BP203" s="85"/>
      <c r="BQ203" s="85"/>
      <c r="BR203" s="85"/>
      <c r="BS203" s="85"/>
      <c r="BT203" s="85"/>
      <c r="BU203" s="87"/>
      <c r="BV203" s="87"/>
      <c r="BW203" s="87"/>
      <c r="BX203" s="87"/>
      <c r="BY203" s="87"/>
      <c r="BZ203" s="87"/>
      <c r="CA203" s="90"/>
      <c r="CB203" s="90"/>
      <c r="CC203" s="90"/>
      <c r="CD203" s="90"/>
      <c r="CE203" s="90"/>
      <c r="CF203" s="90"/>
      <c r="CG203" s="85"/>
      <c r="CH203" s="85"/>
      <c r="CI203" s="85"/>
      <c r="CJ203" s="85"/>
      <c r="CK203" s="85"/>
      <c r="CL203" s="87"/>
      <c r="CM203" s="87"/>
      <c r="CN203" s="87"/>
      <c r="CO203" s="87"/>
      <c r="CP203" s="90"/>
      <c r="CQ203" s="90"/>
      <c r="CR203" s="90"/>
      <c r="CS203" s="90"/>
      <c r="CT203" s="85"/>
      <c r="CU203" s="85"/>
      <c r="CV203" s="85"/>
      <c r="CW203" s="85"/>
      <c r="CX203" s="85"/>
      <c r="CY203" s="85"/>
      <c r="CZ203" s="85"/>
      <c r="DA203" s="33">
        <f t="shared" si="2"/>
        <v>0</v>
      </c>
    </row>
    <row r="204" spans="36:105" ht="19" x14ac:dyDescent="0.25">
      <c r="AJ204" s="63"/>
      <c r="AK204" s="20"/>
      <c r="AL204" s="21"/>
      <c r="AM204" s="22"/>
      <c r="AN204" s="23"/>
      <c r="AO204" s="24"/>
      <c r="AP204" s="25"/>
      <c r="AQ204" s="26"/>
      <c r="AR204" s="27"/>
      <c r="AS204" s="192"/>
      <c r="AT204" s="111"/>
      <c r="AU204" s="193"/>
      <c r="AV204" s="140"/>
      <c r="AW204" s="118"/>
      <c r="AX204" s="141"/>
      <c r="AY204" s="149"/>
      <c r="AZ204" s="121"/>
      <c r="BA204" s="150"/>
      <c r="BB204" s="158"/>
      <c r="BC204" s="124"/>
      <c r="BD204" s="159"/>
      <c r="BE204" s="167"/>
      <c r="BF204" s="85"/>
      <c r="BG204" s="168"/>
      <c r="BH204" s="175"/>
      <c r="BI204" s="127"/>
      <c r="BJ204" s="176"/>
      <c r="BK204" s="184"/>
      <c r="BL204" s="130"/>
      <c r="BM204" s="185"/>
      <c r="BN204" s="69"/>
      <c r="BO204" s="85"/>
      <c r="BP204" s="85"/>
      <c r="BQ204" s="85"/>
      <c r="BR204" s="85"/>
      <c r="BS204" s="85"/>
      <c r="BT204" s="85"/>
      <c r="BU204" s="87"/>
      <c r="BV204" s="87"/>
      <c r="BW204" s="87"/>
      <c r="BX204" s="87"/>
      <c r="BY204" s="87"/>
      <c r="BZ204" s="87"/>
      <c r="CA204" s="90"/>
      <c r="CB204" s="90"/>
      <c r="CC204" s="90"/>
      <c r="CD204" s="90"/>
      <c r="CE204" s="90"/>
      <c r="CF204" s="90"/>
      <c r="CG204" s="85"/>
      <c r="CH204" s="85"/>
      <c r="CI204" s="85"/>
      <c r="CJ204" s="85"/>
      <c r="CK204" s="85"/>
      <c r="CL204" s="87"/>
      <c r="CM204" s="87"/>
      <c r="CN204" s="87"/>
      <c r="CO204" s="87"/>
      <c r="CP204" s="90"/>
      <c r="CQ204" s="90"/>
      <c r="CR204" s="90"/>
      <c r="CS204" s="90"/>
      <c r="CT204" s="85"/>
      <c r="CU204" s="85"/>
      <c r="CV204" s="85"/>
      <c r="CW204" s="85"/>
      <c r="CX204" s="85"/>
      <c r="CY204" s="85"/>
      <c r="CZ204" s="85"/>
      <c r="DA204" s="33">
        <f t="shared" si="2"/>
        <v>0</v>
      </c>
    </row>
    <row r="205" spans="36:105" ht="19" x14ac:dyDescent="0.25">
      <c r="AJ205" s="63"/>
      <c r="AK205" s="20"/>
      <c r="AL205" s="21"/>
      <c r="AM205" s="22"/>
      <c r="AN205" s="23"/>
      <c r="AO205" s="24"/>
      <c r="AP205" s="25"/>
      <c r="AQ205" s="26"/>
      <c r="AR205" s="27"/>
      <c r="AS205" s="192"/>
      <c r="AT205" s="111"/>
      <c r="AU205" s="193"/>
      <c r="AV205" s="140"/>
      <c r="AW205" s="118"/>
      <c r="AX205" s="141"/>
      <c r="AY205" s="149"/>
      <c r="AZ205" s="121"/>
      <c r="BA205" s="150"/>
      <c r="BB205" s="158"/>
      <c r="BC205" s="124"/>
      <c r="BD205" s="159"/>
      <c r="BE205" s="167"/>
      <c r="BF205" s="85"/>
      <c r="BG205" s="168"/>
      <c r="BH205" s="175"/>
      <c r="BI205" s="127"/>
      <c r="BJ205" s="176"/>
      <c r="BK205" s="184"/>
      <c r="BL205" s="130"/>
      <c r="BM205" s="185"/>
      <c r="BN205" s="69"/>
      <c r="BO205" s="85"/>
      <c r="BP205" s="85"/>
      <c r="BQ205" s="85"/>
      <c r="BR205" s="85"/>
      <c r="BS205" s="85"/>
      <c r="BT205" s="85"/>
      <c r="BU205" s="87"/>
      <c r="BV205" s="87"/>
      <c r="BW205" s="87"/>
      <c r="BX205" s="87"/>
      <c r="BY205" s="87"/>
      <c r="BZ205" s="87"/>
      <c r="CA205" s="90"/>
      <c r="CB205" s="90"/>
      <c r="CC205" s="90"/>
      <c r="CD205" s="90"/>
      <c r="CE205" s="90"/>
      <c r="CF205" s="90"/>
      <c r="CG205" s="85"/>
      <c r="CH205" s="85"/>
      <c r="CI205" s="85"/>
      <c r="CJ205" s="85"/>
      <c r="CK205" s="85"/>
      <c r="CL205" s="87"/>
      <c r="CM205" s="87"/>
      <c r="CN205" s="87"/>
      <c r="CO205" s="87"/>
      <c r="CP205" s="90"/>
      <c r="CQ205" s="90"/>
      <c r="CR205" s="90"/>
      <c r="CS205" s="90"/>
      <c r="CT205" s="85"/>
      <c r="CU205" s="85"/>
      <c r="CV205" s="85"/>
      <c r="CW205" s="85"/>
      <c r="CX205" s="85"/>
      <c r="CY205" s="85"/>
      <c r="CZ205" s="85"/>
      <c r="DA205" s="33">
        <f t="shared" si="2"/>
        <v>0</v>
      </c>
    </row>
    <row r="206" spans="36:105" ht="19" x14ac:dyDescent="0.25">
      <c r="AJ206" s="63"/>
      <c r="AK206" s="20"/>
      <c r="AL206" s="21"/>
      <c r="AM206" s="22"/>
      <c r="AN206" s="23"/>
      <c r="AO206" s="24"/>
      <c r="AP206" s="25"/>
      <c r="AQ206" s="26"/>
      <c r="AR206" s="27"/>
      <c r="AS206" s="192"/>
      <c r="AT206" s="111"/>
      <c r="AU206" s="193"/>
      <c r="AV206" s="140"/>
      <c r="AW206" s="118"/>
      <c r="AX206" s="141"/>
      <c r="AY206" s="149"/>
      <c r="AZ206" s="121"/>
      <c r="BA206" s="150"/>
      <c r="BB206" s="158"/>
      <c r="BC206" s="124"/>
      <c r="BD206" s="159"/>
      <c r="BE206" s="167"/>
      <c r="BF206" s="85"/>
      <c r="BG206" s="168"/>
      <c r="BH206" s="175"/>
      <c r="BI206" s="127"/>
      <c r="BJ206" s="176"/>
      <c r="BK206" s="184"/>
      <c r="BL206" s="130"/>
      <c r="BM206" s="185"/>
      <c r="BN206" s="69"/>
      <c r="BO206" s="85"/>
      <c r="BP206" s="85"/>
      <c r="BQ206" s="85"/>
      <c r="BR206" s="85"/>
      <c r="BS206" s="85"/>
      <c r="BT206" s="85"/>
      <c r="BU206" s="87"/>
      <c r="BV206" s="87"/>
      <c r="BW206" s="87"/>
      <c r="BX206" s="87"/>
      <c r="BY206" s="87"/>
      <c r="BZ206" s="87"/>
      <c r="CA206" s="90"/>
      <c r="CB206" s="90"/>
      <c r="CC206" s="90"/>
      <c r="CD206" s="90"/>
      <c r="CE206" s="90"/>
      <c r="CF206" s="90"/>
      <c r="CG206" s="85"/>
      <c r="CH206" s="85"/>
      <c r="CI206" s="85"/>
      <c r="CJ206" s="85"/>
      <c r="CK206" s="85"/>
      <c r="CL206" s="87"/>
      <c r="CM206" s="87"/>
      <c r="CN206" s="87"/>
      <c r="CO206" s="87"/>
      <c r="CP206" s="90"/>
      <c r="CQ206" s="90"/>
      <c r="CR206" s="90"/>
      <c r="CS206" s="90"/>
      <c r="CT206" s="85"/>
      <c r="CU206" s="85"/>
      <c r="CV206" s="85"/>
      <c r="CW206" s="85"/>
      <c r="CX206" s="85"/>
      <c r="CY206" s="85"/>
      <c r="CZ206" s="85"/>
      <c r="DA206" s="33">
        <f t="shared" si="2"/>
        <v>0</v>
      </c>
    </row>
    <row r="207" spans="36:105" ht="19" x14ac:dyDescent="0.25">
      <c r="AJ207" s="63"/>
      <c r="AK207" s="20"/>
      <c r="AL207" s="21"/>
      <c r="AM207" s="22"/>
      <c r="AN207" s="23"/>
      <c r="AO207" s="24"/>
      <c r="AP207" s="25"/>
      <c r="AQ207" s="26"/>
      <c r="AR207" s="27"/>
      <c r="AS207" s="192"/>
      <c r="AT207" s="111"/>
      <c r="AU207" s="193"/>
      <c r="AV207" s="140"/>
      <c r="AW207" s="118"/>
      <c r="AX207" s="141"/>
      <c r="AY207" s="149"/>
      <c r="AZ207" s="121"/>
      <c r="BA207" s="150"/>
      <c r="BB207" s="158"/>
      <c r="BC207" s="124"/>
      <c r="BD207" s="159"/>
      <c r="BE207" s="167"/>
      <c r="BF207" s="85"/>
      <c r="BG207" s="168"/>
      <c r="BH207" s="175"/>
      <c r="BI207" s="127"/>
      <c r="BJ207" s="176"/>
      <c r="BK207" s="184"/>
      <c r="BL207" s="130"/>
      <c r="BM207" s="185"/>
      <c r="BN207" s="69"/>
      <c r="BO207" s="85"/>
      <c r="BP207" s="85"/>
      <c r="BQ207" s="85"/>
      <c r="BR207" s="85"/>
      <c r="BS207" s="85"/>
      <c r="BT207" s="85"/>
      <c r="BU207" s="87"/>
      <c r="BV207" s="87"/>
      <c r="BW207" s="87"/>
      <c r="BX207" s="87"/>
      <c r="BY207" s="87"/>
      <c r="BZ207" s="87"/>
      <c r="CA207" s="90"/>
      <c r="CB207" s="90"/>
      <c r="CC207" s="90"/>
      <c r="CD207" s="90"/>
      <c r="CE207" s="90"/>
      <c r="CF207" s="90"/>
      <c r="CG207" s="85"/>
      <c r="CH207" s="85"/>
      <c r="CI207" s="85"/>
      <c r="CJ207" s="85"/>
      <c r="CK207" s="85"/>
      <c r="CL207" s="87"/>
      <c r="CM207" s="87"/>
      <c r="CN207" s="87"/>
      <c r="CO207" s="87"/>
      <c r="CP207" s="90"/>
      <c r="CQ207" s="90"/>
      <c r="CR207" s="90"/>
      <c r="CS207" s="90"/>
      <c r="CT207" s="85"/>
      <c r="CU207" s="85"/>
      <c r="CV207" s="85"/>
      <c r="CW207" s="85"/>
      <c r="CX207" s="85"/>
      <c r="CY207" s="85"/>
      <c r="CZ207" s="85"/>
      <c r="DA207" s="33">
        <f t="shared" si="2"/>
        <v>0</v>
      </c>
    </row>
    <row r="208" spans="36:105" ht="19" x14ac:dyDescent="0.25">
      <c r="AJ208" s="63"/>
      <c r="AK208" s="20"/>
      <c r="AL208" s="21"/>
      <c r="AM208" s="22"/>
      <c r="AN208" s="23"/>
      <c r="AO208" s="24"/>
      <c r="AP208" s="25"/>
      <c r="AQ208" s="26"/>
      <c r="AR208" s="27"/>
      <c r="AS208" s="192"/>
      <c r="AT208" s="111"/>
      <c r="AU208" s="193"/>
      <c r="AV208" s="140"/>
      <c r="AW208" s="118"/>
      <c r="AX208" s="141"/>
      <c r="AY208" s="149"/>
      <c r="AZ208" s="121"/>
      <c r="BA208" s="150"/>
      <c r="BB208" s="158"/>
      <c r="BC208" s="124"/>
      <c r="BD208" s="159"/>
      <c r="BE208" s="167"/>
      <c r="BF208" s="85"/>
      <c r="BG208" s="168"/>
      <c r="BH208" s="175"/>
      <c r="BI208" s="127"/>
      <c r="BJ208" s="176"/>
      <c r="BK208" s="184"/>
      <c r="BL208" s="130"/>
      <c r="BM208" s="185"/>
      <c r="BN208" s="69"/>
      <c r="BO208" s="85"/>
      <c r="BP208" s="85"/>
      <c r="BQ208" s="85"/>
      <c r="BR208" s="85"/>
      <c r="BS208" s="85"/>
      <c r="BT208" s="85"/>
      <c r="BU208" s="87"/>
      <c r="BV208" s="87"/>
      <c r="BW208" s="87"/>
      <c r="BX208" s="87"/>
      <c r="BY208" s="87"/>
      <c r="BZ208" s="87"/>
      <c r="CA208" s="90"/>
      <c r="CB208" s="90"/>
      <c r="CC208" s="90"/>
      <c r="CD208" s="90"/>
      <c r="CE208" s="90"/>
      <c r="CF208" s="90"/>
      <c r="CG208" s="85"/>
      <c r="CH208" s="85"/>
      <c r="CI208" s="85"/>
      <c r="CJ208" s="85"/>
      <c r="CK208" s="85"/>
      <c r="CL208" s="87"/>
      <c r="CM208" s="87"/>
      <c r="CN208" s="87"/>
      <c r="CO208" s="87"/>
      <c r="CP208" s="90"/>
      <c r="CQ208" s="90"/>
      <c r="CR208" s="90"/>
      <c r="CS208" s="90"/>
      <c r="CT208" s="85"/>
      <c r="CU208" s="85"/>
      <c r="CV208" s="85"/>
      <c r="CW208" s="85"/>
      <c r="CX208" s="85"/>
      <c r="CY208" s="85"/>
      <c r="CZ208" s="85"/>
      <c r="DA208" s="33">
        <f t="shared" si="2"/>
        <v>0</v>
      </c>
    </row>
    <row r="209" spans="36:105" ht="19" x14ac:dyDescent="0.25">
      <c r="AJ209" s="63"/>
      <c r="AK209" s="20"/>
      <c r="AL209" s="21"/>
      <c r="AM209" s="22"/>
      <c r="AN209" s="23"/>
      <c r="AO209" s="24"/>
      <c r="AP209" s="25"/>
      <c r="AQ209" s="26"/>
      <c r="AR209" s="27"/>
      <c r="AS209" s="192"/>
      <c r="AT209" s="111"/>
      <c r="AU209" s="193"/>
      <c r="AV209" s="140"/>
      <c r="AW209" s="118"/>
      <c r="AX209" s="141"/>
      <c r="AY209" s="149"/>
      <c r="AZ209" s="121"/>
      <c r="BA209" s="150"/>
      <c r="BB209" s="158"/>
      <c r="BC209" s="124"/>
      <c r="BD209" s="159"/>
      <c r="BE209" s="167"/>
      <c r="BF209" s="85"/>
      <c r="BG209" s="168"/>
      <c r="BH209" s="175"/>
      <c r="BI209" s="127"/>
      <c r="BJ209" s="176"/>
      <c r="BK209" s="184"/>
      <c r="BL209" s="130"/>
      <c r="BM209" s="185"/>
      <c r="BN209" s="69"/>
      <c r="BO209" s="85"/>
      <c r="BP209" s="85"/>
      <c r="BQ209" s="85"/>
      <c r="BR209" s="85"/>
      <c r="BS209" s="85"/>
      <c r="BT209" s="85"/>
      <c r="BU209" s="87"/>
      <c r="BV209" s="87"/>
      <c r="BW209" s="87"/>
      <c r="BX209" s="87"/>
      <c r="BY209" s="87"/>
      <c r="BZ209" s="87"/>
      <c r="CA209" s="90"/>
      <c r="CB209" s="90"/>
      <c r="CC209" s="90"/>
      <c r="CD209" s="90"/>
      <c r="CE209" s="90"/>
      <c r="CF209" s="90"/>
      <c r="CG209" s="85"/>
      <c r="CH209" s="85"/>
      <c r="CI209" s="85"/>
      <c r="CJ209" s="85"/>
      <c r="CK209" s="85"/>
      <c r="CL209" s="87"/>
      <c r="CM209" s="87"/>
      <c r="CN209" s="87"/>
      <c r="CO209" s="87"/>
      <c r="CP209" s="90"/>
      <c r="CQ209" s="90"/>
      <c r="CR209" s="90"/>
      <c r="CS209" s="90"/>
      <c r="CT209" s="85"/>
      <c r="CU209" s="85"/>
      <c r="CV209" s="85"/>
      <c r="CW209" s="85"/>
      <c r="CX209" s="85"/>
      <c r="CY209" s="85"/>
      <c r="CZ209" s="85"/>
      <c r="DA209" s="33">
        <f t="shared" si="2"/>
        <v>0</v>
      </c>
    </row>
    <row r="210" spans="36:105" ht="19" x14ac:dyDescent="0.25">
      <c r="AJ210" s="63"/>
      <c r="AK210" s="20"/>
      <c r="AL210" s="21"/>
      <c r="AM210" s="22"/>
      <c r="AN210" s="23"/>
      <c r="AO210" s="24"/>
      <c r="AP210" s="25"/>
      <c r="AQ210" s="26"/>
      <c r="AR210" s="27"/>
      <c r="AS210" s="192"/>
      <c r="AT210" s="111"/>
      <c r="AU210" s="193"/>
      <c r="AV210" s="140"/>
      <c r="AW210" s="118"/>
      <c r="AX210" s="141"/>
      <c r="AY210" s="149"/>
      <c r="AZ210" s="121"/>
      <c r="BA210" s="150"/>
      <c r="BB210" s="158"/>
      <c r="BC210" s="124"/>
      <c r="BD210" s="159"/>
      <c r="BE210" s="167"/>
      <c r="BF210" s="85"/>
      <c r="BG210" s="168"/>
      <c r="BH210" s="175"/>
      <c r="BI210" s="127"/>
      <c r="BJ210" s="176"/>
      <c r="BK210" s="184"/>
      <c r="BL210" s="130"/>
      <c r="BM210" s="185"/>
      <c r="BN210" s="69"/>
      <c r="BO210" s="85"/>
      <c r="BP210" s="85"/>
      <c r="BQ210" s="85"/>
      <c r="BR210" s="85"/>
      <c r="BS210" s="85"/>
      <c r="BT210" s="85"/>
      <c r="BU210" s="87"/>
      <c r="BV210" s="87"/>
      <c r="BW210" s="87"/>
      <c r="BX210" s="87"/>
      <c r="BY210" s="87"/>
      <c r="BZ210" s="87"/>
      <c r="CA210" s="90"/>
      <c r="CB210" s="90"/>
      <c r="CC210" s="90"/>
      <c r="CD210" s="90"/>
      <c r="CE210" s="90"/>
      <c r="CF210" s="90"/>
      <c r="CG210" s="85"/>
      <c r="CH210" s="85"/>
      <c r="CI210" s="85"/>
      <c r="CJ210" s="85"/>
      <c r="CK210" s="85"/>
      <c r="CL210" s="87"/>
      <c r="CM210" s="87"/>
      <c r="CN210" s="87"/>
      <c r="CO210" s="87"/>
      <c r="CP210" s="90"/>
      <c r="CQ210" s="90"/>
      <c r="CR210" s="90"/>
      <c r="CS210" s="90"/>
      <c r="CT210" s="85"/>
      <c r="CU210" s="85"/>
      <c r="CV210" s="85"/>
      <c r="CW210" s="85"/>
      <c r="CX210" s="85"/>
      <c r="CY210" s="85"/>
      <c r="CZ210" s="85"/>
      <c r="DA210" s="33">
        <f t="shared" si="2"/>
        <v>0</v>
      </c>
    </row>
    <row r="211" spans="36:105" ht="19" x14ac:dyDescent="0.25">
      <c r="AJ211" s="63"/>
      <c r="AK211" s="20"/>
      <c r="AL211" s="21"/>
      <c r="AM211" s="22"/>
      <c r="AN211" s="23"/>
      <c r="AO211" s="24"/>
      <c r="AP211" s="25"/>
      <c r="AQ211" s="26"/>
      <c r="AR211" s="27"/>
      <c r="AS211" s="192"/>
      <c r="AT211" s="111"/>
      <c r="AU211" s="193"/>
      <c r="AV211" s="140"/>
      <c r="AW211" s="118"/>
      <c r="AX211" s="141"/>
      <c r="AY211" s="149"/>
      <c r="AZ211" s="121"/>
      <c r="BA211" s="150"/>
      <c r="BB211" s="158"/>
      <c r="BC211" s="124"/>
      <c r="BD211" s="159"/>
      <c r="BE211" s="167"/>
      <c r="BF211" s="85"/>
      <c r="BG211" s="168"/>
      <c r="BH211" s="175"/>
      <c r="BI211" s="127"/>
      <c r="BJ211" s="176"/>
      <c r="BK211" s="184"/>
      <c r="BL211" s="130"/>
      <c r="BM211" s="185"/>
      <c r="BN211" s="69"/>
      <c r="BO211" s="85"/>
      <c r="BP211" s="85"/>
      <c r="BQ211" s="85"/>
      <c r="BR211" s="85"/>
      <c r="BS211" s="85"/>
      <c r="BT211" s="85"/>
      <c r="BU211" s="87"/>
      <c r="BV211" s="87"/>
      <c r="BW211" s="87"/>
      <c r="BX211" s="87"/>
      <c r="BY211" s="87"/>
      <c r="BZ211" s="87"/>
      <c r="CA211" s="90"/>
      <c r="CB211" s="90"/>
      <c r="CC211" s="90"/>
      <c r="CD211" s="90"/>
      <c r="CE211" s="90"/>
      <c r="CF211" s="90"/>
      <c r="CG211" s="85"/>
      <c r="CH211" s="85"/>
      <c r="CI211" s="85"/>
      <c r="CJ211" s="85"/>
      <c r="CK211" s="85"/>
      <c r="CL211" s="87"/>
      <c r="CM211" s="87"/>
      <c r="CN211" s="87"/>
      <c r="CO211" s="87"/>
      <c r="CP211" s="90"/>
      <c r="CQ211" s="90"/>
      <c r="CR211" s="90"/>
      <c r="CS211" s="90"/>
      <c r="CT211" s="85"/>
      <c r="CU211" s="85"/>
      <c r="CV211" s="85"/>
      <c r="CW211" s="85"/>
      <c r="CX211" s="85"/>
      <c r="CY211" s="85"/>
      <c r="CZ211" s="85"/>
      <c r="DA211" s="33">
        <f t="shared" si="2"/>
        <v>0</v>
      </c>
    </row>
    <row r="212" spans="36:105" ht="19" x14ac:dyDescent="0.25">
      <c r="AJ212" s="63"/>
      <c r="AK212" s="20"/>
      <c r="AL212" s="21"/>
      <c r="AM212" s="22"/>
      <c r="AN212" s="23"/>
      <c r="AO212" s="24"/>
      <c r="AP212" s="25"/>
      <c r="AQ212" s="26"/>
      <c r="AR212" s="27"/>
      <c r="AS212" s="192"/>
      <c r="AT212" s="111"/>
      <c r="AU212" s="193"/>
      <c r="AV212" s="140"/>
      <c r="AW212" s="118"/>
      <c r="AX212" s="141"/>
      <c r="AY212" s="149"/>
      <c r="AZ212" s="121"/>
      <c r="BA212" s="150"/>
      <c r="BB212" s="158"/>
      <c r="BC212" s="124"/>
      <c r="BD212" s="159"/>
      <c r="BE212" s="167"/>
      <c r="BF212" s="85"/>
      <c r="BG212" s="168"/>
      <c r="BH212" s="175"/>
      <c r="BI212" s="127"/>
      <c r="BJ212" s="176"/>
      <c r="BK212" s="184"/>
      <c r="BL212" s="130"/>
      <c r="BM212" s="185"/>
      <c r="BN212" s="69"/>
      <c r="BO212" s="85"/>
      <c r="BP212" s="85"/>
      <c r="BQ212" s="85"/>
      <c r="BR212" s="85"/>
      <c r="BS212" s="85"/>
      <c r="BT212" s="85"/>
      <c r="BU212" s="87"/>
      <c r="BV212" s="87"/>
      <c r="BW212" s="87"/>
      <c r="BX212" s="87"/>
      <c r="BY212" s="87"/>
      <c r="BZ212" s="87"/>
      <c r="CA212" s="90"/>
      <c r="CB212" s="90"/>
      <c r="CC212" s="90"/>
      <c r="CD212" s="90"/>
      <c r="CE212" s="90"/>
      <c r="CF212" s="90"/>
      <c r="CG212" s="85"/>
      <c r="CH212" s="85"/>
      <c r="CI212" s="85"/>
      <c r="CJ212" s="85"/>
      <c r="CK212" s="85"/>
      <c r="CL212" s="87"/>
      <c r="CM212" s="87"/>
      <c r="CN212" s="87"/>
      <c r="CO212" s="87"/>
      <c r="CP212" s="90"/>
      <c r="CQ212" s="90"/>
      <c r="CR212" s="90"/>
      <c r="CS212" s="90"/>
      <c r="CT212" s="85"/>
      <c r="CU212" s="85"/>
      <c r="CV212" s="85"/>
      <c r="CW212" s="85"/>
      <c r="CX212" s="85"/>
      <c r="CY212" s="85"/>
      <c r="CZ212" s="85"/>
      <c r="DA212" s="33">
        <f t="shared" si="2"/>
        <v>0</v>
      </c>
    </row>
    <row r="213" spans="36:105" ht="19" x14ac:dyDescent="0.25">
      <c r="AJ213" s="63"/>
      <c r="AK213" s="20"/>
      <c r="AL213" s="21"/>
      <c r="AM213" s="22"/>
      <c r="AN213" s="23"/>
      <c r="AO213" s="24"/>
      <c r="AP213" s="25"/>
      <c r="AQ213" s="26"/>
      <c r="AR213" s="27"/>
      <c r="AS213" s="192"/>
      <c r="AT213" s="111"/>
      <c r="AU213" s="193"/>
      <c r="AV213" s="140"/>
      <c r="AW213" s="118"/>
      <c r="AX213" s="141"/>
      <c r="AY213" s="149"/>
      <c r="AZ213" s="121"/>
      <c r="BA213" s="150"/>
      <c r="BB213" s="158"/>
      <c r="BC213" s="124"/>
      <c r="BD213" s="159"/>
      <c r="BE213" s="167"/>
      <c r="BF213" s="85"/>
      <c r="BG213" s="168"/>
      <c r="BH213" s="175"/>
      <c r="BI213" s="127"/>
      <c r="BJ213" s="176"/>
      <c r="BK213" s="184"/>
      <c r="BL213" s="130"/>
      <c r="BM213" s="185"/>
      <c r="BN213" s="69"/>
      <c r="BO213" s="85"/>
      <c r="BP213" s="85"/>
      <c r="BQ213" s="85"/>
      <c r="BR213" s="85"/>
      <c r="BS213" s="85"/>
      <c r="BT213" s="85"/>
      <c r="BU213" s="87"/>
      <c r="BV213" s="87"/>
      <c r="BW213" s="87"/>
      <c r="BX213" s="87"/>
      <c r="BY213" s="87"/>
      <c r="BZ213" s="87"/>
      <c r="CA213" s="90"/>
      <c r="CB213" s="90"/>
      <c r="CC213" s="90"/>
      <c r="CD213" s="90"/>
      <c r="CE213" s="90"/>
      <c r="CF213" s="90"/>
      <c r="CG213" s="85"/>
      <c r="CH213" s="85"/>
      <c r="CI213" s="85"/>
      <c r="CJ213" s="85"/>
      <c r="CK213" s="85"/>
      <c r="CL213" s="87"/>
      <c r="CM213" s="87"/>
      <c r="CN213" s="87"/>
      <c r="CO213" s="87"/>
      <c r="CP213" s="90"/>
      <c r="CQ213" s="90"/>
      <c r="CR213" s="90"/>
      <c r="CS213" s="90"/>
      <c r="CT213" s="85"/>
      <c r="CU213" s="85"/>
      <c r="CV213" s="85"/>
      <c r="CW213" s="85"/>
      <c r="CX213" s="85"/>
      <c r="CY213" s="85"/>
      <c r="CZ213" s="85"/>
      <c r="DA213" s="33">
        <f t="shared" si="2"/>
        <v>0</v>
      </c>
    </row>
    <row r="214" spans="36:105" ht="19" x14ac:dyDescent="0.25">
      <c r="AJ214" s="63"/>
      <c r="AK214" s="20"/>
      <c r="AL214" s="21"/>
      <c r="AM214" s="22"/>
      <c r="AN214" s="23"/>
      <c r="AO214" s="24"/>
      <c r="AP214" s="25"/>
      <c r="AQ214" s="26"/>
      <c r="AR214" s="27"/>
      <c r="AS214" s="192"/>
      <c r="AT214" s="111"/>
      <c r="AU214" s="193"/>
      <c r="AV214" s="140"/>
      <c r="AW214" s="118"/>
      <c r="AX214" s="141"/>
      <c r="AY214" s="149"/>
      <c r="AZ214" s="121"/>
      <c r="BA214" s="150"/>
      <c r="BB214" s="158"/>
      <c r="BC214" s="124"/>
      <c r="BD214" s="159"/>
      <c r="BE214" s="167"/>
      <c r="BF214" s="85"/>
      <c r="BG214" s="168"/>
      <c r="BH214" s="175"/>
      <c r="BI214" s="127"/>
      <c r="BJ214" s="176"/>
      <c r="BK214" s="184"/>
      <c r="BL214" s="130"/>
      <c r="BM214" s="185"/>
      <c r="BN214" s="69"/>
      <c r="BO214" s="85"/>
      <c r="BP214" s="85"/>
      <c r="BQ214" s="85"/>
      <c r="BR214" s="85"/>
      <c r="BS214" s="85"/>
      <c r="BT214" s="85"/>
      <c r="BU214" s="87"/>
      <c r="BV214" s="87"/>
      <c r="BW214" s="87"/>
      <c r="BX214" s="87"/>
      <c r="BY214" s="87"/>
      <c r="BZ214" s="87"/>
      <c r="CA214" s="90"/>
      <c r="CB214" s="90"/>
      <c r="CC214" s="90"/>
      <c r="CD214" s="90"/>
      <c r="CE214" s="90"/>
      <c r="CF214" s="90"/>
      <c r="CG214" s="85"/>
      <c r="CH214" s="85"/>
      <c r="CI214" s="85"/>
      <c r="CJ214" s="85"/>
      <c r="CK214" s="85"/>
      <c r="CL214" s="87"/>
      <c r="CM214" s="87"/>
      <c r="CN214" s="87"/>
      <c r="CO214" s="87"/>
      <c r="CP214" s="90"/>
      <c r="CQ214" s="90"/>
      <c r="CR214" s="90"/>
      <c r="CS214" s="90"/>
      <c r="CT214" s="85"/>
      <c r="CU214" s="85"/>
      <c r="CV214" s="85"/>
      <c r="CW214" s="85"/>
      <c r="CX214" s="85"/>
      <c r="CY214" s="85"/>
      <c r="CZ214" s="85"/>
      <c r="DA214" s="33">
        <f t="shared" si="2"/>
        <v>0</v>
      </c>
    </row>
    <row r="215" spans="36:105" ht="19" x14ac:dyDescent="0.25">
      <c r="AJ215" s="63"/>
      <c r="AK215" s="20"/>
      <c r="AL215" s="21"/>
      <c r="AM215" s="22"/>
      <c r="AN215" s="23"/>
      <c r="AO215" s="24"/>
      <c r="AP215" s="25"/>
      <c r="AQ215" s="26"/>
      <c r="AR215" s="27"/>
      <c r="AS215" s="192"/>
      <c r="AT215" s="111"/>
      <c r="AU215" s="193"/>
      <c r="AV215" s="140"/>
      <c r="AW215" s="118"/>
      <c r="AX215" s="141"/>
      <c r="AY215" s="149"/>
      <c r="AZ215" s="121"/>
      <c r="BA215" s="150"/>
      <c r="BB215" s="158"/>
      <c r="BC215" s="124"/>
      <c r="BD215" s="159"/>
      <c r="BE215" s="167"/>
      <c r="BF215" s="85"/>
      <c r="BG215" s="168"/>
      <c r="BH215" s="175"/>
      <c r="BI215" s="127"/>
      <c r="BJ215" s="176"/>
      <c r="BK215" s="184"/>
      <c r="BL215" s="130"/>
      <c r="BM215" s="185"/>
      <c r="BN215" s="69"/>
      <c r="BO215" s="85"/>
      <c r="BP215" s="85"/>
      <c r="BQ215" s="85"/>
      <c r="BR215" s="85"/>
      <c r="BS215" s="85"/>
      <c r="BT215" s="85"/>
      <c r="BU215" s="87"/>
      <c r="BV215" s="87"/>
      <c r="BW215" s="87"/>
      <c r="BX215" s="87"/>
      <c r="BY215" s="87"/>
      <c r="BZ215" s="87"/>
      <c r="CA215" s="90"/>
      <c r="CB215" s="90"/>
      <c r="CC215" s="90"/>
      <c r="CD215" s="90"/>
      <c r="CE215" s="90"/>
      <c r="CF215" s="90"/>
      <c r="CG215" s="85"/>
      <c r="CH215" s="85"/>
      <c r="CI215" s="85"/>
      <c r="CJ215" s="85"/>
      <c r="CK215" s="85"/>
      <c r="CL215" s="87"/>
      <c r="CM215" s="87"/>
      <c r="CN215" s="87"/>
      <c r="CO215" s="87"/>
      <c r="CP215" s="90"/>
      <c r="CQ215" s="90"/>
      <c r="CR215" s="90"/>
      <c r="CS215" s="90"/>
      <c r="CT215" s="85"/>
      <c r="CU215" s="85"/>
      <c r="CV215" s="85"/>
      <c r="CW215" s="85"/>
      <c r="CX215" s="85"/>
      <c r="CY215" s="85"/>
      <c r="CZ215" s="85"/>
      <c r="DA215" s="33">
        <f t="shared" si="2"/>
        <v>0</v>
      </c>
    </row>
    <row r="216" spans="36:105" ht="19" x14ac:dyDescent="0.25">
      <c r="AJ216" s="63"/>
      <c r="AK216" s="20"/>
      <c r="AL216" s="21"/>
      <c r="AM216" s="22"/>
      <c r="AN216" s="23"/>
      <c r="AO216" s="24"/>
      <c r="AP216" s="25"/>
      <c r="AQ216" s="26"/>
      <c r="AR216" s="27"/>
      <c r="AS216" s="192"/>
      <c r="AT216" s="111"/>
      <c r="AU216" s="193"/>
      <c r="AV216" s="140"/>
      <c r="AW216" s="118"/>
      <c r="AX216" s="141"/>
      <c r="AY216" s="149"/>
      <c r="AZ216" s="121"/>
      <c r="BA216" s="150"/>
      <c r="BB216" s="158"/>
      <c r="BC216" s="124"/>
      <c r="BD216" s="159"/>
      <c r="BE216" s="167"/>
      <c r="BF216" s="85"/>
      <c r="BG216" s="168"/>
      <c r="BH216" s="175"/>
      <c r="BI216" s="127"/>
      <c r="BJ216" s="176"/>
      <c r="BK216" s="184"/>
      <c r="BL216" s="130"/>
      <c r="BM216" s="185"/>
      <c r="BN216" s="69"/>
      <c r="BO216" s="85"/>
      <c r="BP216" s="85"/>
      <c r="BQ216" s="85"/>
      <c r="BR216" s="85"/>
      <c r="BS216" s="85"/>
      <c r="BT216" s="85"/>
      <c r="BU216" s="87"/>
      <c r="BV216" s="87"/>
      <c r="BW216" s="87"/>
      <c r="BX216" s="87"/>
      <c r="BY216" s="87"/>
      <c r="BZ216" s="87"/>
      <c r="CA216" s="90"/>
      <c r="CB216" s="90"/>
      <c r="CC216" s="90"/>
      <c r="CD216" s="90"/>
      <c r="CE216" s="90"/>
      <c r="CF216" s="90"/>
      <c r="CG216" s="85"/>
      <c r="CH216" s="85"/>
      <c r="CI216" s="85"/>
      <c r="CJ216" s="85"/>
      <c r="CK216" s="85"/>
      <c r="CL216" s="87"/>
      <c r="CM216" s="87"/>
      <c r="CN216" s="87"/>
      <c r="CO216" s="87"/>
      <c r="CP216" s="90"/>
      <c r="CQ216" s="90"/>
      <c r="CR216" s="90"/>
      <c r="CS216" s="90"/>
      <c r="CT216" s="85"/>
      <c r="CU216" s="85"/>
      <c r="CV216" s="85"/>
      <c r="CW216" s="85"/>
      <c r="CX216" s="85"/>
      <c r="CY216" s="85"/>
      <c r="CZ216" s="85"/>
      <c r="DA216" s="33">
        <f t="shared" si="2"/>
        <v>0</v>
      </c>
    </row>
    <row r="217" spans="36:105" ht="19" x14ac:dyDescent="0.25">
      <c r="AJ217" s="63"/>
      <c r="AK217" s="20"/>
      <c r="AL217" s="21"/>
      <c r="AM217" s="22"/>
      <c r="AN217" s="23"/>
      <c r="AO217" s="24"/>
      <c r="AP217" s="25"/>
      <c r="AQ217" s="26"/>
      <c r="AR217" s="27"/>
      <c r="AS217" s="192"/>
      <c r="AT217" s="111"/>
      <c r="AU217" s="193"/>
      <c r="AV217" s="140"/>
      <c r="AW217" s="118"/>
      <c r="AX217" s="141"/>
      <c r="AY217" s="149"/>
      <c r="AZ217" s="121"/>
      <c r="BA217" s="150"/>
      <c r="BB217" s="158"/>
      <c r="BC217" s="124"/>
      <c r="BD217" s="159"/>
      <c r="BE217" s="167"/>
      <c r="BF217" s="85"/>
      <c r="BG217" s="168"/>
      <c r="BH217" s="175"/>
      <c r="BI217" s="127"/>
      <c r="BJ217" s="176"/>
      <c r="BK217" s="184"/>
      <c r="BL217" s="130"/>
      <c r="BM217" s="185"/>
      <c r="BN217" s="69"/>
      <c r="BO217" s="85"/>
      <c r="BP217" s="85"/>
      <c r="BQ217" s="85"/>
      <c r="BR217" s="85"/>
      <c r="BS217" s="85"/>
      <c r="BT217" s="85"/>
      <c r="BU217" s="87"/>
      <c r="BV217" s="87"/>
      <c r="BW217" s="87"/>
      <c r="BX217" s="87"/>
      <c r="BY217" s="87"/>
      <c r="BZ217" s="87"/>
      <c r="CA217" s="90"/>
      <c r="CB217" s="90"/>
      <c r="CC217" s="90"/>
      <c r="CD217" s="90"/>
      <c r="CE217" s="90"/>
      <c r="CF217" s="90"/>
      <c r="CG217" s="85"/>
      <c r="CH217" s="85"/>
      <c r="CI217" s="85"/>
      <c r="CJ217" s="85"/>
      <c r="CK217" s="85"/>
      <c r="CL217" s="87"/>
      <c r="CM217" s="87"/>
      <c r="CN217" s="87"/>
      <c r="CO217" s="87"/>
      <c r="CP217" s="90"/>
      <c r="CQ217" s="90"/>
      <c r="CR217" s="90"/>
      <c r="CS217" s="90"/>
      <c r="CT217" s="85"/>
      <c r="CU217" s="85"/>
      <c r="CV217" s="85"/>
      <c r="CW217" s="85"/>
      <c r="CX217" s="85"/>
      <c r="CY217" s="85"/>
      <c r="CZ217" s="85"/>
      <c r="DA217" s="33">
        <f t="shared" si="2"/>
        <v>0</v>
      </c>
    </row>
    <row r="218" spans="36:105" ht="19" x14ac:dyDescent="0.25">
      <c r="AJ218" s="63"/>
      <c r="AK218" s="20"/>
      <c r="AL218" s="21"/>
      <c r="AM218" s="22"/>
      <c r="AN218" s="23"/>
      <c r="AO218" s="24"/>
      <c r="AP218" s="25"/>
      <c r="AQ218" s="26"/>
      <c r="AR218" s="27"/>
      <c r="AS218" s="192"/>
      <c r="AT218" s="111"/>
      <c r="AU218" s="193"/>
      <c r="AV218" s="140"/>
      <c r="AW218" s="118"/>
      <c r="AX218" s="141"/>
      <c r="AY218" s="149"/>
      <c r="AZ218" s="121"/>
      <c r="BA218" s="150"/>
      <c r="BB218" s="158"/>
      <c r="BC218" s="124"/>
      <c r="BD218" s="159"/>
      <c r="BE218" s="167"/>
      <c r="BF218" s="85"/>
      <c r="BG218" s="168"/>
      <c r="BH218" s="175"/>
      <c r="BI218" s="127"/>
      <c r="BJ218" s="176"/>
      <c r="BK218" s="184"/>
      <c r="BL218" s="130"/>
      <c r="BM218" s="185"/>
      <c r="BN218" s="69"/>
      <c r="BO218" s="85"/>
      <c r="BP218" s="85"/>
      <c r="BQ218" s="85"/>
      <c r="BR218" s="85"/>
      <c r="BS218" s="85"/>
      <c r="BT218" s="85"/>
      <c r="BU218" s="87"/>
      <c r="BV218" s="87"/>
      <c r="BW218" s="87"/>
      <c r="BX218" s="87"/>
      <c r="BY218" s="87"/>
      <c r="BZ218" s="87"/>
      <c r="CA218" s="90"/>
      <c r="CB218" s="90"/>
      <c r="CC218" s="90"/>
      <c r="CD218" s="90"/>
      <c r="CE218" s="90"/>
      <c r="CF218" s="90"/>
      <c r="CG218" s="85"/>
      <c r="CH218" s="85"/>
      <c r="CI218" s="85"/>
      <c r="CJ218" s="85"/>
      <c r="CK218" s="85"/>
      <c r="CL218" s="87"/>
      <c r="CM218" s="87"/>
      <c r="CN218" s="87"/>
      <c r="CO218" s="87"/>
      <c r="CP218" s="90"/>
      <c r="CQ218" s="90"/>
      <c r="CR218" s="90"/>
      <c r="CS218" s="90"/>
      <c r="CT218" s="85"/>
      <c r="CU218" s="85"/>
      <c r="CV218" s="85"/>
      <c r="CW218" s="85"/>
      <c r="CX218" s="85"/>
      <c r="CY218" s="85"/>
      <c r="CZ218" s="85"/>
      <c r="DA218" s="33">
        <f t="shared" si="2"/>
        <v>0</v>
      </c>
    </row>
    <row r="219" spans="36:105" ht="19" x14ac:dyDescent="0.25">
      <c r="AJ219" s="63"/>
      <c r="AK219" s="20"/>
      <c r="AL219" s="21"/>
      <c r="AM219" s="22"/>
      <c r="AN219" s="23"/>
      <c r="AO219" s="24"/>
      <c r="AP219" s="25"/>
      <c r="AQ219" s="26"/>
      <c r="AR219" s="27"/>
      <c r="AS219" s="192"/>
      <c r="AT219" s="111"/>
      <c r="AU219" s="193"/>
      <c r="AV219" s="140"/>
      <c r="AW219" s="118"/>
      <c r="AX219" s="141"/>
      <c r="AY219" s="149"/>
      <c r="AZ219" s="121"/>
      <c r="BA219" s="150"/>
      <c r="BB219" s="158"/>
      <c r="BC219" s="124"/>
      <c r="BD219" s="159"/>
      <c r="BE219" s="167"/>
      <c r="BF219" s="85"/>
      <c r="BG219" s="168"/>
      <c r="BH219" s="175"/>
      <c r="BI219" s="127"/>
      <c r="BJ219" s="176"/>
      <c r="BK219" s="184"/>
      <c r="BL219" s="130"/>
      <c r="BM219" s="185"/>
      <c r="BN219" s="69"/>
      <c r="BO219" s="85"/>
      <c r="BP219" s="85"/>
      <c r="BQ219" s="85"/>
      <c r="BR219" s="85"/>
      <c r="BS219" s="85"/>
      <c r="BT219" s="85"/>
      <c r="BU219" s="87"/>
      <c r="BV219" s="87"/>
      <c r="BW219" s="87"/>
      <c r="BX219" s="87"/>
      <c r="BY219" s="87"/>
      <c r="BZ219" s="87"/>
      <c r="CA219" s="90"/>
      <c r="CB219" s="90"/>
      <c r="CC219" s="90"/>
      <c r="CD219" s="90"/>
      <c r="CE219" s="90"/>
      <c r="CF219" s="90"/>
      <c r="CG219" s="85"/>
      <c r="CH219" s="85"/>
      <c r="CI219" s="85"/>
      <c r="CJ219" s="85"/>
      <c r="CK219" s="85"/>
      <c r="CL219" s="87"/>
      <c r="CM219" s="87"/>
      <c r="CN219" s="87"/>
      <c r="CO219" s="87"/>
      <c r="CP219" s="90"/>
      <c r="CQ219" s="90"/>
      <c r="CR219" s="90"/>
      <c r="CS219" s="90"/>
      <c r="CT219" s="85"/>
      <c r="CU219" s="85"/>
      <c r="CV219" s="85"/>
      <c r="CW219" s="85"/>
      <c r="CX219" s="85"/>
      <c r="CY219" s="85"/>
      <c r="CZ219" s="85"/>
      <c r="DA219" s="33">
        <f t="shared" si="2"/>
        <v>0</v>
      </c>
    </row>
    <row r="220" spans="36:105" ht="19" x14ac:dyDescent="0.25">
      <c r="AJ220" s="63"/>
      <c r="AK220" s="20"/>
      <c r="AL220" s="21"/>
      <c r="AM220" s="22"/>
      <c r="AN220" s="23"/>
      <c r="AO220" s="24"/>
      <c r="AP220" s="25"/>
      <c r="AQ220" s="26"/>
      <c r="AR220" s="27"/>
      <c r="AS220" s="192"/>
      <c r="AT220" s="111"/>
      <c r="AU220" s="193"/>
      <c r="AV220" s="140"/>
      <c r="AW220" s="118"/>
      <c r="AX220" s="141"/>
      <c r="AY220" s="149"/>
      <c r="AZ220" s="121"/>
      <c r="BA220" s="150"/>
      <c r="BB220" s="158"/>
      <c r="BC220" s="124"/>
      <c r="BD220" s="159"/>
      <c r="BE220" s="167"/>
      <c r="BF220" s="85"/>
      <c r="BG220" s="168"/>
      <c r="BH220" s="175"/>
      <c r="BI220" s="127"/>
      <c r="BJ220" s="176"/>
      <c r="BK220" s="184"/>
      <c r="BL220" s="130"/>
      <c r="BM220" s="185"/>
      <c r="BN220" s="69"/>
      <c r="BO220" s="85"/>
      <c r="BP220" s="85"/>
      <c r="BQ220" s="85"/>
      <c r="BR220" s="85"/>
      <c r="BS220" s="85"/>
      <c r="BT220" s="85"/>
      <c r="BU220" s="87"/>
      <c r="BV220" s="87"/>
      <c r="BW220" s="87"/>
      <c r="BX220" s="87"/>
      <c r="BY220" s="87"/>
      <c r="BZ220" s="87"/>
      <c r="CA220" s="90"/>
      <c r="CB220" s="90"/>
      <c r="CC220" s="90"/>
      <c r="CD220" s="90"/>
      <c r="CE220" s="90"/>
      <c r="CF220" s="90"/>
      <c r="CG220" s="85"/>
      <c r="CH220" s="85"/>
      <c r="CI220" s="85"/>
      <c r="CJ220" s="85"/>
      <c r="CK220" s="85"/>
      <c r="CL220" s="87"/>
      <c r="CM220" s="87"/>
      <c r="CN220" s="87"/>
      <c r="CO220" s="87"/>
      <c r="CP220" s="90"/>
      <c r="CQ220" s="90"/>
      <c r="CR220" s="90"/>
      <c r="CS220" s="90"/>
      <c r="CT220" s="85"/>
      <c r="CU220" s="85"/>
      <c r="CV220" s="85"/>
      <c r="CW220" s="85"/>
      <c r="CX220" s="85"/>
      <c r="CY220" s="85"/>
      <c r="CZ220" s="85"/>
      <c r="DA220" s="33">
        <f t="shared" si="2"/>
        <v>0</v>
      </c>
    </row>
    <row r="221" spans="36:105" ht="19" x14ac:dyDescent="0.25">
      <c r="AJ221" s="63"/>
      <c r="AK221" s="20"/>
      <c r="AL221" s="21"/>
      <c r="AM221" s="22"/>
      <c r="AN221" s="23"/>
      <c r="AO221" s="24"/>
      <c r="AP221" s="25"/>
      <c r="AQ221" s="26"/>
      <c r="AR221" s="27"/>
      <c r="AS221" s="192"/>
      <c r="AT221" s="111"/>
      <c r="AU221" s="193"/>
      <c r="AV221" s="140"/>
      <c r="AW221" s="118"/>
      <c r="AX221" s="141"/>
      <c r="AY221" s="149"/>
      <c r="AZ221" s="121"/>
      <c r="BA221" s="150"/>
      <c r="BB221" s="158"/>
      <c r="BC221" s="124"/>
      <c r="BD221" s="159"/>
      <c r="BE221" s="167"/>
      <c r="BF221" s="85"/>
      <c r="BG221" s="168"/>
      <c r="BH221" s="175"/>
      <c r="BI221" s="127"/>
      <c r="BJ221" s="176"/>
      <c r="BK221" s="184"/>
      <c r="BL221" s="130"/>
      <c r="BM221" s="185"/>
      <c r="BN221" s="69"/>
      <c r="BO221" s="85"/>
      <c r="BP221" s="85"/>
      <c r="BQ221" s="85"/>
      <c r="BR221" s="85"/>
      <c r="BS221" s="85"/>
      <c r="BT221" s="85"/>
      <c r="BU221" s="87"/>
      <c r="BV221" s="87"/>
      <c r="BW221" s="87"/>
      <c r="BX221" s="87"/>
      <c r="BY221" s="87"/>
      <c r="BZ221" s="87"/>
      <c r="CA221" s="90"/>
      <c r="CB221" s="90"/>
      <c r="CC221" s="90"/>
      <c r="CD221" s="90"/>
      <c r="CE221" s="90"/>
      <c r="CF221" s="90"/>
      <c r="CG221" s="85"/>
      <c r="CH221" s="85"/>
      <c r="CI221" s="85"/>
      <c r="CJ221" s="85"/>
      <c r="CK221" s="85"/>
      <c r="CL221" s="87"/>
      <c r="CM221" s="87"/>
      <c r="CN221" s="87"/>
      <c r="CO221" s="87"/>
      <c r="CP221" s="90"/>
      <c r="CQ221" s="90"/>
      <c r="CR221" s="90"/>
      <c r="CS221" s="90"/>
      <c r="CT221" s="85"/>
      <c r="CU221" s="85"/>
      <c r="CV221" s="85"/>
      <c r="CW221" s="85"/>
      <c r="CX221" s="85"/>
      <c r="CY221" s="85"/>
      <c r="CZ221" s="85"/>
      <c r="DA221" s="33">
        <f t="shared" si="2"/>
        <v>0</v>
      </c>
    </row>
    <row r="222" spans="36:105" ht="19" x14ac:dyDescent="0.25">
      <c r="AJ222" s="63"/>
      <c r="AK222" s="20"/>
      <c r="AL222" s="21"/>
      <c r="AM222" s="22"/>
      <c r="AN222" s="23"/>
      <c r="AO222" s="24"/>
      <c r="AP222" s="25"/>
      <c r="AQ222" s="26"/>
      <c r="AR222" s="27"/>
      <c r="AS222" s="192"/>
      <c r="AT222" s="111"/>
      <c r="AU222" s="193"/>
      <c r="AV222" s="140"/>
      <c r="AW222" s="118"/>
      <c r="AX222" s="141"/>
      <c r="AY222" s="149"/>
      <c r="AZ222" s="121"/>
      <c r="BA222" s="150"/>
      <c r="BB222" s="158"/>
      <c r="BC222" s="124"/>
      <c r="BD222" s="159"/>
      <c r="BE222" s="167"/>
      <c r="BF222" s="85"/>
      <c r="BG222" s="168"/>
      <c r="BH222" s="175"/>
      <c r="BI222" s="127"/>
      <c r="BJ222" s="176"/>
      <c r="BK222" s="184"/>
      <c r="BL222" s="130"/>
      <c r="BM222" s="185"/>
      <c r="BN222" s="69"/>
      <c r="BO222" s="85"/>
      <c r="BP222" s="85"/>
      <c r="BQ222" s="85"/>
      <c r="BR222" s="85"/>
      <c r="BS222" s="85"/>
      <c r="BT222" s="85"/>
      <c r="BU222" s="87"/>
      <c r="BV222" s="87"/>
      <c r="BW222" s="87"/>
      <c r="BX222" s="87"/>
      <c r="BY222" s="87"/>
      <c r="BZ222" s="87"/>
      <c r="CA222" s="90"/>
      <c r="CB222" s="90"/>
      <c r="CC222" s="90"/>
      <c r="CD222" s="90"/>
      <c r="CE222" s="90"/>
      <c r="CF222" s="90"/>
      <c r="CG222" s="85"/>
      <c r="CH222" s="85"/>
      <c r="CI222" s="85"/>
      <c r="CJ222" s="85"/>
      <c r="CK222" s="85"/>
      <c r="CL222" s="87"/>
      <c r="CM222" s="87"/>
      <c r="CN222" s="87"/>
      <c r="CO222" s="87"/>
      <c r="CP222" s="90"/>
      <c r="CQ222" s="90"/>
      <c r="CR222" s="90"/>
      <c r="CS222" s="90"/>
      <c r="CT222" s="85"/>
      <c r="CU222" s="85"/>
      <c r="CV222" s="85"/>
      <c r="CW222" s="85"/>
      <c r="CX222" s="85"/>
      <c r="CY222" s="85"/>
      <c r="CZ222" s="85"/>
      <c r="DA222" s="33">
        <f t="shared" si="2"/>
        <v>0</v>
      </c>
    </row>
    <row r="223" spans="36:105" ht="19" x14ac:dyDescent="0.25">
      <c r="AJ223" s="63"/>
      <c r="AK223" s="20"/>
      <c r="AL223" s="21"/>
      <c r="AM223" s="22"/>
      <c r="AN223" s="23"/>
      <c r="AO223" s="24"/>
      <c r="AP223" s="25"/>
      <c r="AQ223" s="26"/>
      <c r="AR223" s="27"/>
      <c r="AS223" s="192"/>
      <c r="AT223" s="111"/>
      <c r="AU223" s="193"/>
      <c r="AV223" s="140"/>
      <c r="AW223" s="118"/>
      <c r="AX223" s="141"/>
      <c r="AY223" s="149"/>
      <c r="AZ223" s="121"/>
      <c r="BA223" s="150"/>
      <c r="BB223" s="158"/>
      <c r="BC223" s="124"/>
      <c r="BD223" s="159"/>
      <c r="BE223" s="167"/>
      <c r="BF223" s="85"/>
      <c r="BG223" s="168"/>
      <c r="BH223" s="175"/>
      <c r="BI223" s="127"/>
      <c r="BJ223" s="176"/>
      <c r="BK223" s="184"/>
      <c r="BL223" s="130"/>
      <c r="BM223" s="185"/>
      <c r="BN223" s="69"/>
      <c r="BO223" s="85"/>
      <c r="BP223" s="85"/>
      <c r="BQ223" s="85"/>
      <c r="BR223" s="85"/>
      <c r="BS223" s="85"/>
      <c r="BT223" s="85"/>
      <c r="BU223" s="87"/>
      <c r="BV223" s="87"/>
      <c r="BW223" s="87"/>
      <c r="BX223" s="87"/>
      <c r="BY223" s="87"/>
      <c r="BZ223" s="87"/>
      <c r="CA223" s="90"/>
      <c r="CB223" s="90"/>
      <c r="CC223" s="90"/>
      <c r="CD223" s="90"/>
      <c r="CE223" s="90"/>
      <c r="CF223" s="90"/>
      <c r="CG223" s="85"/>
      <c r="CH223" s="85"/>
      <c r="CI223" s="85"/>
      <c r="CJ223" s="85"/>
      <c r="CK223" s="85"/>
      <c r="CL223" s="87"/>
      <c r="CM223" s="87"/>
      <c r="CN223" s="87"/>
      <c r="CO223" s="87"/>
      <c r="CP223" s="90"/>
      <c r="CQ223" s="90"/>
      <c r="CR223" s="90"/>
      <c r="CS223" s="90"/>
      <c r="CT223" s="85"/>
      <c r="CU223" s="85"/>
      <c r="CV223" s="85"/>
      <c r="CW223" s="85"/>
      <c r="CX223" s="85"/>
      <c r="CY223" s="85"/>
      <c r="CZ223" s="85"/>
      <c r="DA223" s="33">
        <f t="shared" si="2"/>
        <v>0</v>
      </c>
    </row>
    <row r="224" spans="36:105" ht="19" x14ac:dyDescent="0.25">
      <c r="AJ224" s="63"/>
      <c r="AK224" s="20"/>
      <c r="AL224" s="21"/>
      <c r="AM224" s="22"/>
      <c r="AN224" s="23"/>
      <c r="AO224" s="24"/>
      <c r="AP224" s="25"/>
      <c r="AQ224" s="26"/>
      <c r="AR224" s="27"/>
      <c r="AS224" s="192"/>
      <c r="AT224" s="111"/>
      <c r="AU224" s="193"/>
      <c r="AV224" s="140"/>
      <c r="AW224" s="118"/>
      <c r="AX224" s="141"/>
      <c r="AY224" s="149"/>
      <c r="AZ224" s="121"/>
      <c r="BA224" s="150"/>
      <c r="BB224" s="158"/>
      <c r="BC224" s="124"/>
      <c r="BD224" s="159"/>
      <c r="BE224" s="167"/>
      <c r="BF224" s="85"/>
      <c r="BG224" s="168"/>
      <c r="BH224" s="175"/>
      <c r="BI224" s="127"/>
      <c r="BJ224" s="176"/>
      <c r="BK224" s="184"/>
      <c r="BL224" s="130"/>
      <c r="BM224" s="185"/>
      <c r="BN224" s="69"/>
      <c r="BO224" s="85"/>
      <c r="BP224" s="85"/>
      <c r="BQ224" s="85"/>
      <c r="BR224" s="85"/>
      <c r="BS224" s="85"/>
      <c r="BT224" s="85"/>
      <c r="BU224" s="87"/>
      <c r="BV224" s="87"/>
      <c r="BW224" s="87"/>
      <c r="BX224" s="87"/>
      <c r="BY224" s="87"/>
      <c r="BZ224" s="87"/>
      <c r="CA224" s="90"/>
      <c r="CB224" s="90"/>
      <c r="CC224" s="90"/>
      <c r="CD224" s="90"/>
      <c r="CE224" s="90"/>
      <c r="CF224" s="90"/>
      <c r="CG224" s="85"/>
      <c r="CH224" s="85"/>
      <c r="CI224" s="85"/>
      <c r="CJ224" s="85"/>
      <c r="CK224" s="85"/>
      <c r="CL224" s="87"/>
      <c r="CM224" s="87"/>
      <c r="CN224" s="87"/>
      <c r="CO224" s="87"/>
      <c r="CP224" s="90"/>
      <c r="CQ224" s="90"/>
      <c r="CR224" s="90"/>
      <c r="CS224" s="90"/>
      <c r="CT224" s="85"/>
      <c r="CU224" s="85"/>
      <c r="CV224" s="85"/>
      <c r="CW224" s="85"/>
      <c r="CX224" s="85"/>
      <c r="CY224" s="85"/>
      <c r="CZ224" s="85"/>
      <c r="DA224" s="33">
        <f t="shared" si="2"/>
        <v>0</v>
      </c>
    </row>
    <row r="225" spans="36:105" ht="19" x14ac:dyDescent="0.25">
      <c r="AJ225" s="63"/>
      <c r="AK225" s="20"/>
      <c r="AL225" s="21"/>
      <c r="AM225" s="22"/>
      <c r="AN225" s="23"/>
      <c r="AO225" s="24"/>
      <c r="AP225" s="25"/>
      <c r="AQ225" s="26"/>
      <c r="AR225" s="27"/>
      <c r="AS225" s="192"/>
      <c r="AT225" s="111"/>
      <c r="AU225" s="193"/>
      <c r="AV225" s="140"/>
      <c r="AW225" s="118"/>
      <c r="AX225" s="141"/>
      <c r="AY225" s="149"/>
      <c r="AZ225" s="121"/>
      <c r="BA225" s="150"/>
      <c r="BB225" s="158"/>
      <c r="BC225" s="124"/>
      <c r="BD225" s="159"/>
      <c r="BE225" s="167"/>
      <c r="BF225" s="85"/>
      <c r="BG225" s="168"/>
      <c r="BH225" s="175"/>
      <c r="BI225" s="127"/>
      <c r="BJ225" s="176"/>
      <c r="BK225" s="184"/>
      <c r="BL225" s="130"/>
      <c r="BM225" s="185"/>
      <c r="BN225" s="69"/>
      <c r="BO225" s="85"/>
      <c r="BP225" s="85"/>
      <c r="BQ225" s="85"/>
      <c r="BR225" s="85"/>
      <c r="BS225" s="85"/>
      <c r="BT225" s="85"/>
      <c r="BU225" s="87"/>
      <c r="BV225" s="87"/>
      <c r="BW225" s="87"/>
      <c r="BX225" s="87"/>
      <c r="BY225" s="87"/>
      <c r="BZ225" s="87"/>
      <c r="CA225" s="90"/>
      <c r="CB225" s="90"/>
      <c r="CC225" s="90"/>
      <c r="CD225" s="90"/>
      <c r="CE225" s="90"/>
      <c r="CF225" s="90"/>
      <c r="CG225" s="85"/>
      <c r="CH225" s="85"/>
      <c r="CI225" s="85"/>
      <c r="CJ225" s="85"/>
      <c r="CK225" s="85"/>
      <c r="CL225" s="87"/>
      <c r="CM225" s="87"/>
      <c r="CN225" s="87"/>
      <c r="CO225" s="87"/>
      <c r="CP225" s="90"/>
      <c r="CQ225" s="90"/>
      <c r="CR225" s="90"/>
      <c r="CS225" s="90"/>
      <c r="CT225" s="85"/>
      <c r="CU225" s="85"/>
      <c r="CV225" s="85"/>
      <c r="CW225" s="85"/>
      <c r="CX225" s="85"/>
      <c r="CY225" s="85"/>
      <c r="CZ225" s="85"/>
      <c r="DA225" s="33">
        <f t="shared" si="2"/>
        <v>0</v>
      </c>
    </row>
    <row r="226" spans="36:105" ht="19" x14ac:dyDescent="0.25">
      <c r="AJ226" s="63"/>
      <c r="AK226" s="20"/>
      <c r="AL226" s="21"/>
      <c r="AM226" s="22"/>
      <c r="AN226" s="23"/>
      <c r="AO226" s="24"/>
      <c r="AP226" s="25"/>
      <c r="AQ226" s="26"/>
      <c r="AR226" s="27"/>
      <c r="AS226" s="192"/>
      <c r="AT226" s="111"/>
      <c r="AU226" s="193"/>
      <c r="AV226" s="140"/>
      <c r="AW226" s="118"/>
      <c r="AX226" s="141"/>
      <c r="AY226" s="149"/>
      <c r="AZ226" s="121"/>
      <c r="BA226" s="150"/>
      <c r="BB226" s="158"/>
      <c r="BC226" s="124"/>
      <c r="BD226" s="159"/>
      <c r="BE226" s="167"/>
      <c r="BF226" s="85"/>
      <c r="BG226" s="168"/>
      <c r="BH226" s="175"/>
      <c r="BI226" s="127"/>
      <c r="BJ226" s="176"/>
      <c r="BK226" s="184"/>
      <c r="BL226" s="130"/>
      <c r="BM226" s="185"/>
      <c r="BN226" s="69"/>
      <c r="BO226" s="85"/>
      <c r="BP226" s="85"/>
      <c r="BQ226" s="85"/>
      <c r="BR226" s="85"/>
      <c r="BS226" s="85"/>
      <c r="BT226" s="85"/>
      <c r="BU226" s="87"/>
      <c r="BV226" s="87"/>
      <c r="BW226" s="87"/>
      <c r="BX226" s="87"/>
      <c r="BY226" s="87"/>
      <c r="BZ226" s="87"/>
      <c r="CA226" s="90"/>
      <c r="CB226" s="90"/>
      <c r="CC226" s="90"/>
      <c r="CD226" s="90"/>
      <c r="CE226" s="90"/>
      <c r="CF226" s="90"/>
      <c r="CG226" s="85"/>
      <c r="CH226" s="85"/>
      <c r="CI226" s="85"/>
      <c r="CJ226" s="85"/>
      <c r="CK226" s="85"/>
      <c r="CL226" s="87"/>
      <c r="CM226" s="87"/>
      <c r="CN226" s="87"/>
      <c r="CO226" s="87"/>
      <c r="CP226" s="90"/>
      <c r="CQ226" s="90"/>
      <c r="CR226" s="90"/>
      <c r="CS226" s="90"/>
      <c r="CT226" s="85"/>
      <c r="CU226" s="85"/>
      <c r="CV226" s="85"/>
      <c r="CW226" s="85"/>
      <c r="CX226" s="85"/>
      <c r="CY226" s="85"/>
      <c r="CZ226" s="85"/>
      <c r="DA226" s="33">
        <f t="shared" si="2"/>
        <v>0</v>
      </c>
    </row>
    <row r="227" spans="36:105" ht="19" x14ac:dyDescent="0.25">
      <c r="AJ227" s="63"/>
      <c r="AK227" s="20"/>
      <c r="AL227" s="21"/>
      <c r="AM227" s="22"/>
      <c r="AN227" s="23"/>
      <c r="AO227" s="24"/>
      <c r="AP227" s="25"/>
      <c r="AQ227" s="26"/>
      <c r="AR227" s="27"/>
      <c r="AS227" s="192"/>
      <c r="AT227" s="111"/>
      <c r="AU227" s="193"/>
      <c r="AV227" s="140"/>
      <c r="AW227" s="118"/>
      <c r="AX227" s="141"/>
      <c r="AY227" s="149"/>
      <c r="AZ227" s="121"/>
      <c r="BA227" s="150"/>
      <c r="BB227" s="158"/>
      <c r="BC227" s="124"/>
      <c r="BD227" s="159"/>
      <c r="BE227" s="167"/>
      <c r="BF227" s="85"/>
      <c r="BG227" s="168"/>
      <c r="BH227" s="175"/>
      <c r="BI227" s="127"/>
      <c r="BJ227" s="176"/>
      <c r="BK227" s="184"/>
      <c r="BL227" s="130"/>
      <c r="BM227" s="185"/>
      <c r="BN227" s="69"/>
      <c r="BO227" s="85"/>
      <c r="BP227" s="85"/>
      <c r="BQ227" s="85"/>
      <c r="BR227" s="85"/>
      <c r="BS227" s="85"/>
      <c r="BT227" s="85"/>
      <c r="BU227" s="87"/>
      <c r="BV227" s="87"/>
      <c r="BW227" s="87"/>
      <c r="BX227" s="87"/>
      <c r="BY227" s="87"/>
      <c r="BZ227" s="87"/>
      <c r="CA227" s="90"/>
      <c r="CB227" s="90"/>
      <c r="CC227" s="90"/>
      <c r="CD227" s="90"/>
      <c r="CE227" s="90"/>
      <c r="CF227" s="90"/>
      <c r="CG227" s="85"/>
      <c r="CH227" s="85"/>
      <c r="CI227" s="85"/>
      <c r="CJ227" s="85"/>
      <c r="CK227" s="85"/>
      <c r="CL227" s="87"/>
      <c r="CM227" s="87"/>
      <c r="CN227" s="87"/>
      <c r="CO227" s="87"/>
      <c r="CP227" s="90"/>
      <c r="CQ227" s="90"/>
      <c r="CR227" s="90"/>
      <c r="CS227" s="90"/>
      <c r="CT227" s="85"/>
      <c r="CU227" s="85"/>
      <c r="CV227" s="85"/>
      <c r="CW227" s="85"/>
      <c r="CX227" s="85"/>
      <c r="CY227" s="85"/>
      <c r="CZ227" s="85"/>
      <c r="DA227" s="33">
        <f t="shared" si="2"/>
        <v>0</v>
      </c>
    </row>
    <row r="228" spans="36:105" ht="19" x14ac:dyDescent="0.25">
      <c r="AJ228" s="63"/>
      <c r="AK228" s="20"/>
      <c r="AL228" s="21"/>
      <c r="AM228" s="22"/>
      <c r="AN228" s="23"/>
      <c r="AO228" s="24"/>
      <c r="AP228" s="25"/>
      <c r="AQ228" s="26"/>
      <c r="AR228" s="27"/>
      <c r="AS228" s="192"/>
      <c r="AT228" s="111"/>
      <c r="AU228" s="193"/>
      <c r="AV228" s="140"/>
      <c r="AW228" s="118"/>
      <c r="AX228" s="141"/>
      <c r="AY228" s="149"/>
      <c r="AZ228" s="121"/>
      <c r="BA228" s="150"/>
      <c r="BB228" s="158"/>
      <c r="BC228" s="124"/>
      <c r="BD228" s="159"/>
      <c r="BE228" s="167"/>
      <c r="BF228" s="85"/>
      <c r="BG228" s="168"/>
      <c r="BH228" s="175"/>
      <c r="BI228" s="127"/>
      <c r="BJ228" s="176"/>
      <c r="BK228" s="184"/>
      <c r="BL228" s="130"/>
      <c r="BM228" s="185"/>
      <c r="BN228" s="69"/>
      <c r="BO228" s="85"/>
      <c r="BP228" s="85"/>
      <c r="BQ228" s="85"/>
      <c r="BR228" s="85"/>
      <c r="BS228" s="85"/>
      <c r="BT228" s="85"/>
      <c r="BU228" s="87"/>
      <c r="BV228" s="87"/>
      <c r="BW228" s="87"/>
      <c r="BX228" s="87"/>
      <c r="BY228" s="87"/>
      <c r="BZ228" s="87"/>
      <c r="CA228" s="90"/>
      <c r="CB228" s="90"/>
      <c r="CC228" s="90"/>
      <c r="CD228" s="90"/>
      <c r="CE228" s="90"/>
      <c r="CF228" s="90"/>
      <c r="CG228" s="85"/>
      <c r="CH228" s="85"/>
      <c r="CI228" s="85"/>
      <c r="CJ228" s="85"/>
      <c r="CK228" s="85"/>
      <c r="CL228" s="87"/>
      <c r="CM228" s="87"/>
      <c r="CN228" s="87"/>
      <c r="CO228" s="87"/>
      <c r="CP228" s="90"/>
      <c r="CQ228" s="90"/>
      <c r="CR228" s="90"/>
      <c r="CS228" s="90"/>
      <c r="CT228" s="85"/>
      <c r="CU228" s="85"/>
      <c r="CV228" s="85"/>
      <c r="CW228" s="85"/>
      <c r="CX228" s="85"/>
      <c r="CY228" s="85"/>
      <c r="CZ228" s="85"/>
      <c r="DA228" s="33">
        <f t="shared" si="2"/>
        <v>0</v>
      </c>
    </row>
    <row r="229" spans="36:105" ht="19" x14ac:dyDescent="0.25">
      <c r="AJ229" s="63"/>
      <c r="AK229" s="20"/>
      <c r="AL229" s="21"/>
      <c r="AM229" s="22"/>
      <c r="AN229" s="23"/>
      <c r="AO229" s="24"/>
      <c r="AP229" s="25"/>
      <c r="AQ229" s="26"/>
      <c r="AR229" s="27"/>
      <c r="AS229" s="192"/>
      <c r="AT229" s="111"/>
      <c r="AU229" s="193"/>
      <c r="AV229" s="140"/>
      <c r="AW229" s="118"/>
      <c r="AX229" s="141"/>
      <c r="AY229" s="149"/>
      <c r="AZ229" s="121"/>
      <c r="BA229" s="150"/>
      <c r="BB229" s="158"/>
      <c r="BC229" s="124"/>
      <c r="BD229" s="159"/>
      <c r="BE229" s="167"/>
      <c r="BF229" s="85"/>
      <c r="BG229" s="168"/>
      <c r="BH229" s="175"/>
      <c r="BI229" s="127"/>
      <c r="BJ229" s="176"/>
      <c r="BK229" s="184"/>
      <c r="BL229" s="130"/>
      <c r="BM229" s="185"/>
      <c r="BN229" s="69"/>
      <c r="BO229" s="85"/>
      <c r="BP229" s="85"/>
      <c r="BQ229" s="85"/>
      <c r="BR229" s="85"/>
      <c r="BS229" s="85"/>
      <c r="BT229" s="85"/>
      <c r="BU229" s="87"/>
      <c r="BV229" s="87"/>
      <c r="BW229" s="87"/>
      <c r="BX229" s="87"/>
      <c r="BY229" s="87"/>
      <c r="BZ229" s="87"/>
      <c r="CA229" s="90"/>
      <c r="CB229" s="90"/>
      <c r="CC229" s="90"/>
      <c r="CD229" s="90"/>
      <c r="CE229" s="90"/>
      <c r="CF229" s="90"/>
      <c r="CG229" s="85"/>
      <c r="CH229" s="85"/>
      <c r="CI229" s="85"/>
      <c r="CJ229" s="85"/>
      <c r="CK229" s="85"/>
      <c r="CL229" s="87"/>
      <c r="CM229" s="87"/>
      <c r="CN229" s="87"/>
      <c r="CO229" s="87"/>
      <c r="CP229" s="90"/>
      <c r="CQ229" s="90"/>
      <c r="CR229" s="90"/>
      <c r="CS229" s="90"/>
      <c r="CT229" s="85"/>
      <c r="CU229" s="85"/>
      <c r="CV229" s="85"/>
      <c r="CW229" s="85"/>
      <c r="CX229" s="85"/>
      <c r="CY229" s="85"/>
      <c r="CZ229" s="85"/>
      <c r="DA229" s="33">
        <f t="shared" si="2"/>
        <v>0</v>
      </c>
    </row>
    <row r="230" spans="36:105" ht="19" x14ac:dyDescent="0.25">
      <c r="AJ230" s="63"/>
      <c r="AK230" s="20"/>
      <c r="AL230" s="21"/>
      <c r="AM230" s="22"/>
      <c r="AN230" s="23"/>
      <c r="AO230" s="24"/>
      <c r="AP230" s="25"/>
      <c r="AQ230" s="26"/>
      <c r="AR230" s="27"/>
      <c r="AS230" s="192"/>
      <c r="AT230" s="111"/>
      <c r="AU230" s="193"/>
      <c r="AV230" s="140"/>
      <c r="AW230" s="118"/>
      <c r="AX230" s="141"/>
      <c r="AY230" s="149"/>
      <c r="AZ230" s="121"/>
      <c r="BA230" s="150"/>
      <c r="BB230" s="158"/>
      <c r="BC230" s="124"/>
      <c r="BD230" s="159"/>
      <c r="BE230" s="167"/>
      <c r="BF230" s="85"/>
      <c r="BG230" s="168"/>
      <c r="BH230" s="175"/>
      <c r="BI230" s="127"/>
      <c r="BJ230" s="176"/>
      <c r="BK230" s="184"/>
      <c r="BL230" s="130"/>
      <c r="BM230" s="185"/>
      <c r="BN230" s="69"/>
      <c r="BO230" s="85"/>
      <c r="BP230" s="85"/>
      <c r="BQ230" s="85"/>
      <c r="BR230" s="85"/>
      <c r="BS230" s="85"/>
      <c r="BT230" s="85"/>
      <c r="BU230" s="87"/>
      <c r="BV230" s="87"/>
      <c r="BW230" s="87"/>
      <c r="BX230" s="87"/>
      <c r="BY230" s="87"/>
      <c r="BZ230" s="87"/>
      <c r="CA230" s="90"/>
      <c r="CB230" s="90"/>
      <c r="CC230" s="90"/>
      <c r="CD230" s="90"/>
      <c r="CE230" s="90"/>
      <c r="CF230" s="90"/>
      <c r="CG230" s="85"/>
      <c r="CH230" s="85"/>
      <c r="CI230" s="85"/>
      <c r="CJ230" s="85"/>
      <c r="CK230" s="85"/>
      <c r="CL230" s="87"/>
      <c r="CM230" s="87"/>
      <c r="CN230" s="87"/>
      <c r="CO230" s="87"/>
      <c r="CP230" s="90"/>
      <c r="CQ230" s="90"/>
      <c r="CR230" s="90"/>
      <c r="CS230" s="90"/>
      <c r="CT230" s="85"/>
      <c r="CU230" s="85"/>
      <c r="CV230" s="85"/>
      <c r="CW230" s="85"/>
      <c r="CX230" s="85"/>
      <c r="CY230" s="85"/>
      <c r="CZ230" s="85"/>
      <c r="DA230" s="33">
        <f t="shared" ref="DA230:DA293" si="3">D230</f>
        <v>0</v>
      </c>
    </row>
    <row r="231" spans="36:105" ht="19" x14ac:dyDescent="0.25">
      <c r="AJ231" s="63"/>
      <c r="AK231" s="20"/>
      <c r="AL231" s="21"/>
      <c r="AM231" s="22"/>
      <c r="AN231" s="23"/>
      <c r="AO231" s="24"/>
      <c r="AP231" s="25"/>
      <c r="AQ231" s="26"/>
      <c r="AR231" s="27"/>
      <c r="AS231" s="192"/>
      <c r="AT231" s="111"/>
      <c r="AU231" s="193"/>
      <c r="AV231" s="140"/>
      <c r="AW231" s="118"/>
      <c r="AX231" s="141"/>
      <c r="AY231" s="149"/>
      <c r="AZ231" s="121"/>
      <c r="BA231" s="150"/>
      <c r="BB231" s="158"/>
      <c r="BC231" s="124"/>
      <c r="BD231" s="159"/>
      <c r="BE231" s="167"/>
      <c r="BF231" s="85"/>
      <c r="BG231" s="168"/>
      <c r="BH231" s="175"/>
      <c r="BI231" s="127"/>
      <c r="BJ231" s="176"/>
      <c r="BK231" s="184"/>
      <c r="BL231" s="130"/>
      <c r="BM231" s="185"/>
      <c r="BN231" s="69"/>
      <c r="BO231" s="85"/>
      <c r="BP231" s="85"/>
      <c r="BQ231" s="85"/>
      <c r="BR231" s="85"/>
      <c r="BS231" s="85"/>
      <c r="BT231" s="85"/>
      <c r="BU231" s="87"/>
      <c r="BV231" s="87"/>
      <c r="BW231" s="87"/>
      <c r="BX231" s="87"/>
      <c r="BY231" s="87"/>
      <c r="BZ231" s="87"/>
      <c r="CA231" s="90"/>
      <c r="CB231" s="90"/>
      <c r="CC231" s="90"/>
      <c r="CD231" s="90"/>
      <c r="CE231" s="90"/>
      <c r="CF231" s="90"/>
      <c r="CG231" s="85"/>
      <c r="CH231" s="85"/>
      <c r="CI231" s="85"/>
      <c r="CJ231" s="85"/>
      <c r="CK231" s="85"/>
      <c r="CL231" s="87"/>
      <c r="CM231" s="87"/>
      <c r="CN231" s="87"/>
      <c r="CO231" s="87"/>
      <c r="CP231" s="90"/>
      <c r="CQ231" s="90"/>
      <c r="CR231" s="90"/>
      <c r="CS231" s="90"/>
      <c r="CT231" s="85"/>
      <c r="CU231" s="85"/>
      <c r="CV231" s="85"/>
      <c r="CW231" s="85"/>
      <c r="CX231" s="85"/>
      <c r="CY231" s="85"/>
      <c r="CZ231" s="85"/>
      <c r="DA231" s="33">
        <f t="shared" si="3"/>
        <v>0</v>
      </c>
    </row>
    <row r="232" spans="36:105" ht="19" x14ac:dyDescent="0.25">
      <c r="AJ232" s="63"/>
      <c r="AK232" s="20"/>
      <c r="AL232" s="21"/>
      <c r="AM232" s="22"/>
      <c r="AN232" s="23"/>
      <c r="AO232" s="24"/>
      <c r="AP232" s="25"/>
      <c r="AQ232" s="26"/>
      <c r="AR232" s="27"/>
      <c r="AS232" s="192"/>
      <c r="AT232" s="111"/>
      <c r="AU232" s="193"/>
      <c r="AV232" s="140"/>
      <c r="AW232" s="118"/>
      <c r="AX232" s="141"/>
      <c r="AY232" s="149"/>
      <c r="AZ232" s="121"/>
      <c r="BA232" s="150"/>
      <c r="BB232" s="158"/>
      <c r="BC232" s="124"/>
      <c r="BD232" s="159"/>
      <c r="BE232" s="167"/>
      <c r="BF232" s="85"/>
      <c r="BG232" s="168"/>
      <c r="BH232" s="175"/>
      <c r="BI232" s="127"/>
      <c r="BJ232" s="176"/>
      <c r="BK232" s="184"/>
      <c r="BL232" s="130"/>
      <c r="BM232" s="185"/>
      <c r="BN232" s="69"/>
      <c r="BO232" s="85"/>
      <c r="BP232" s="85"/>
      <c r="BQ232" s="85"/>
      <c r="BR232" s="85"/>
      <c r="BS232" s="85"/>
      <c r="BT232" s="85"/>
      <c r="BU232" s="87"/>
      <c r="BV232" s="87"/>
      <c r="BW232" s="87"/>
      <c r="BX232" s="87"/>
      <c r="BY232" s="87"/>
      <c r="BZ232" s="87"/>
      <c r="CA232" s="90"/>
      <c r="CB232" s="90"/>
      <c r="CC232" s="90"/>
      <c r="CD232" s="90"/>
      <c r="CE232" s="90"/>
      <c r="CF232" s="90"/>
      <c r="CG232" s="85"/>
      <c r="CH232" s="85"/>
      <c r="CI232" s="85"/>
      <c r="CJ232" s="85"/>
      <c r="CK232" s="85"/>
      <c r="CL232" s="87"/>
      <c r="CM232" s="87"/>
      <c r="CN232" s="87"/>
      <c r="CO232" s="87"/>
      <c r="CP232" s="90"/>
      <c r="CQ232" s="90"/>
      <c r="CR232" s="90"/>
      <c r="CS232" s="90"/>
      <c r="CT232" s="85"/>
      <c r="CU232" s="85"/>
      <c r="CV232" s="85"/>
      <c r="CW232" s="85"/>
      <c r="CX232" s="85"/>
      <c r="CY232" s="85"/>
      <c r="CZ232" s="85"/>
      <c r="DA232" s="33">
        <f t="shared" si="3"/>
        <v>0</v>
      </c>
    </row>
    <row r="233" spans="36:105" ht="19" x14ac:dyDescent="0.25">
      <c r="AJ233" s="63"/>
      <c r="AK233" s="20"/>
      <c r="AL233" s="21"/>
      <c r="AM233" s="22"/>
      <c r="AN233" s="23"/>
      <c r="AO233" s="24"/>
      <c r="AP233" s="25"/>
      <c r="AQ233" s="26"/>
      <c r="AR233" s="27"/>
      <c r="AS233" s="192"/>
      <c r="AT233" s="111"/>
      <c r="AU233" s="193"/>
      <c r="AV233" s="140"/>
      <c r="AW233" s="118"/>
      <c r="AX233" s="141"/>
      <c r="AY233" s="149"/>
      <c r="AZ233" s="121"/>
      <c r="BA233" s="150"/>
      <c r="BB233" s="158"/>
      <c r="BC233" s="124"/>
      <c r="BD233" s="159"/>
      <c r="BE233" s="167"/>
      <c r="BF233" s="85"/>
      <c r="BG233" s="168"/>
      <c r="BH233" s="175"/>
      <c r="BI233" s="127"/>
      <c r="BJ233" s="176"/>
      <c r="BK233" s="184"/>
      <c r="BL233" s="130"/>
      <c r="BM233" s="185"/>
      <c r="BN233" s="69"/>
      <c r="BO233" s="85"/>
      <c r="BP233" s="85"/>
      <c r="BQ233" s="85"/>
      <c r="BR233" s="85"/>
      <c r="BS233" s="85"/>
      <c r="BT233" s="85"/>
      <c r="BU233" s="87"/>
      <c r="BV233" s="87"/>
      <c r="BW233" s="87"/>
      <c r="BX233" s="87"/>
      <c r="BY233" s="87"/>
      <c r="BZ233" s="87"/>
      <c r="CA233" s="90"/>
      <c r="CB233" s="90"/>
      <c r="CC233" s="90"/>
      <c r="CD233" s="90"/>
      <c r="CE233" s="90"/>
      <c r="CF233" s="90"/>
      <c r="CG233" s="85"/>
      <c r="CH233" s="85"/>
      <c r="CI233" s="85"/>
      <c r="CJ233" s="85"/>
      <c r="CK233" s="85"/>
      <c r="CL233" s="87"/>
      <c r="CM233" s="87"/>
      <c r="CN233" s="87"/>
      <c r="CO233" s="87"/>
      <c r="CP233" s="90"/>
      <c r="CQ233" s="90"/>
      <c r="CR233" s="90"/>
      <c r="CS233" s="90"/>
      <c r="CT233" s="85"/>
      <c r="CU233" s="85"/>
      <c r="CV233" s="85"/>
      <c r="CW233" s="85"/>
      <c r="CX233" s="85"/>
      <c r="CY233" s="85"/>
      <c r="CZ233" s="85"/>
      <c r="DA233" s="33">
        <f t="shared" si="3"/>
        <v>0</v>
      </c>
    </row>
    <row r="234" spans="36:105" ht="19" x14ac:dyDescent="0.25">
      <c r="AJ234" s="63"/>
      <c r="AK234" s="20"/>
      <c r="AL234" s="21"/>
      <c r="AM234" s="22"/>
      <c r="AN234" s="23"/>
      <c r="AO234" s="24"/>
      <c r="AP234" s="25"/>
      <c r="AQ234" s="26"/>
      <c r="AR234" s="27"/>
      <c r="AS234" s="192"/>
      <c r="AT234" s="111"/>
      <c r="AU234" s="193"/>
      <c r="AV234" s="140"/>
      <c r="AW234" s="118"/>
      <c r="AX234" s="141"/>
      <c r="AY234" s="149"/>
      <c r="AZ234" s="121"/>
      <c r="BA234" s="150"/>
      <c r="BB234" s="158"/>
      <c r="BC234" s="124"/>
      <c r="BD234" s="159"/>
      <c r="BE234" s="167"/>
      <c r="BF234" s="85"/>
      <c r="BG234" s="168"/>
      <c r="BH234" s="175"/>
      <c r="BI234" s="127"/>
      <c r="BJ234" s="176"/>
      <c r="BK234" s="184"/>
      <c r="BL234" s="130"/>
      <c r="BM234" s="185"/>
      <c r="BN234" s="69"/>
      <c r="BO234" s="85"/>
      <c r="BP234" s="85"/>
      <c r="BQ234" s="85"/>
      <c r="BR234" s="85"/>
      <c r="BS234" s="85"/>
      <c r="BT234" s="85"/>
      <c r="BU234" s="87"/>
      <c r="BV234" s="87"/>
      <c r="BW234" s="87"/>
      <c r="BX234" s="87"/>
      <c r="BY234" s="87"/>
      <c r="BZ234" s="87"/>
      <c r="CA234" s="90"/>
      <c r="CB234" s="90"/>
      <c r="CC234" s="90"/>
      <c r="CD234" s="90"/>
      <c r="CE234" s="90"/>
      <c r="CF234" s="90"/>
      <c r="CG234" s="85"/>
      <c r="CH234" s="85"/>
      <c r="CI234" s="85"/>
      <c r="CJ234" s="85"/>
      <c r="CK234" s="85"/>
      <c r="CL234" s="87"/>
      <c r="CM234" s="87"/>
      <c r="CN234" s="87"/>
      <c r="CO234" s="87"/>
      <c r="CP234" s="90"/>
      <c r="CQ234" s="90"/>
      <c r="CR234" s="90"/>
      <c r="CS234" s="90"/>
      <c r="CT234" s="85"/>
      <c r="CU234" s="85"/>
      <c r="CV234" s="85"/>
      <c r="CW234" s="85"/>
      <c r="CX234" s="85"/>
      <c r="CY234" s="85"/>
      <c r="CZ234" s="85"/>
      <c r="DA234" s="33">
        <f t="shared" si="3"/>
        <v>0</v>
      </c>
    </row>
    <row r="235" spans="36:105" ht="19" x14ac:dyDescent="0.25">
      <c r="AJ235" s="63"/>
      <c r="AK235" s="20"/>
      <c r="AL235" s="21"/>
      <c r="AM235" s="22"/>
      <c r="AN235" s="23"/>
      <c r="AO235" s="24"/>
      <c r="AP235" s="25"/>
      <c r="AQ235" s="26"/>
      <c r="AR235" s="27"/>
      <c r="AS235" s="192"/>
      <c r="AT235" s="111"/>
      <c r="AU235" s="193"/>
      <c r="AV235" s="140"/>
      <c r="AW235" s="118"/>
      <c r="AX235" s="141"/>
      <c r="AY235" s="149"/>
      <c r="AZ235" s="121"/>
      <c r="BA235" s="150"/>
      <c r="BB235" s="158"/>
      <c r="BC235" s="124"/>
      <c r="BD235" s="159"/>
      <c r="BE235" s="167"/>
      <c r="BF235" s="85"/>
      <c r="BG235" s="168"/>
      <c r="BH235" s="175"/>
      <c r="BI235" s="127"/>
      <c r="BJ235" s="176"/>
      <c r="BK235" s="184"/>
      <c r="BL235" s="130"/>
      <c r="BM235" s="185"/>
      <c r="BN235" s="69"/>
      <c r="BO235" s="85"/>
      <c r="BP235" s="85"/>
      <c r="BQ235" s="85"/>
      <c r="BR235" s="85"/>
      <c r="BS235" s="85"/>
      <c r="BT235" s="85"/>
      <c r="BU235" s="87"/>
      <c r="BV235" s="87"/>
      <c r="BW235" s="87"/>
      <c r="BX235" s="87"/>
      <c r="BY235" s="87"/>
      <c r="BZ235" s="87"/>
      <c r="CA235" s="90"/>
      <c r="CB235" s="90"/>
      <c r="CC235" s="90"/>
      <c r="CD235" s="90"/>
      <c r="CE235" s="90"/>
      <c r="CF235" s="90"/>
      <c r="CG235" s="85"/>
      <c r="CH235" s="85"/>
      <c r="CI235" s="85"/>
      <c r="CJ235" s="85"/>
      <c r="CK235" s="85"/>
      <c r="CL235" s="87"/>
      <c r="CM235" s="87"/>
      <c r="CN235" s="87"/>
      <c r="CO235" s="87"/>
      <c r="CP235" s="90"/>
      <c r="CQ235" s="90"/>
      <c r="CR235" s="90"/>
      <c r="CS235" s="90"/>
      <c r="CT235" s="85"/>
      <c r="CU235" s="85"/>
      <c r="CV235" s="85"/>
      <c r="CW235" s="85"/>
      <c r="CX235" s="85"/>
      <c r="CY235" s="85"/>
      <c r="CZ235" s="85"/>
      <c r="DA235" s="33">
        <f t="shared" si="3"/>
        <v>0</v>
      </c>
    </row>
    <row r="236" spans="36:105" ht="19" x14ac:dyDescent="0.25">
      <c r="AJ236" s="63"/>
      <c r="AK236" s="20"/>
      <c r="AL236" s="21"/>
      <c r="AM236" s="22"/>
      <c r="AN236" s="23"/>
      <c r="AO236" s="24"/>
      <c r="AP236" s="25"/>
      <c r="AQ236" s="26"/>
      <c r="AR236" s="27"/>
      <c r="AS236" s="192"/>
      <c r="AT236" s="111"/>
      <c r="AU236" s="193"/>
      <c r="AV236" s="140"/>
      <c r="AW236" s="118"/>
      <c r="AX236" s="141"/>
      <c r="AY236" s="149"/>
      <c r="AZ236" s="121"/>
      <c r="BA236" s="150"/>
      <c r="BB236" s="158"/>
      <c r="BC236" s="124"/>
      <c r="BD236" s="159"/>
      <c r="BE236" s="167"/>
      <c r="BF236" s="85"/>
      <c r="BG236" s="168"/>
      <c r="BH236" s="175"/>
      <c r="BI236" s="127"/>
      <c r="BJ236" s="176"/>
      <c r="BK236" s="184"/>
      <c r="BL236" s="130"/>
      <c r="BM236" s="185"/>
      <c r="BN236" s="69"/>
      <c r="BO236" s="85"/>
      <c r="BP236" s="85"/>
      <c r="BQ236" s="85"/>
      <c r="BR236" s="85"/>
      <c r="BS236" s="85"/>
      <c r="BT236" s="85"/>
      <c r="BU236" s="87"/>
      <c r="BV236" s="87"/>
      <c r="BW236" s="87"/>
      <c r="BX236" s="87"/>
      <c r="BY236" s="87"/>
      <c r="BZ236" s="87"/>
      <c r="CA236" s="90"/>
      <c r="CB236" s="90"/>
      <c r="CC236" s="90"/>
      <c r="CD236" s="90"/>
      <c r="CE236" s="90"/>
      <c r="CF236" s="90"/>
      <c r="CG236" s="85"/>
      <c r="CH236" s="85"/>
      <c r="CI236" s="85"/>
      <c r="CJ236" s="85"/>
      <c r="CK236" s="85"/>
      <c r="CL236" s="87"/>
      <c r="CM236" s="87"/>
      <c r="CN236" s="87"/>
      <c r="CO236" s="87"/>
      <c r="CP236" s="90"/>
      <c r="CQ236" s="90"/>
      <c r="CR236" s="90"/>
      <c r="CS236" s="90"/>
      <c r="CT236" s="85"/>
      <c r="CU236" s="85"/>
      <c r="CV236" s="85"/>
      <c r="CW236" s="85"/>
      <c r="CX236" s="85"/>
      <c r="CY236" s="85"/>
      <c r="CZ236" s="85"/>
      <c r="DA236" s="33">
        <f t="shared" si="3"/>
        <v>0</v>
      </c>
    </row>
    <row r="237" spans="36:105" ht="19" x14ac:dyDescent="0.25">
      <c r="AJ237" s="63"/>
      <c r="AK237" s="20"/>
      <c r="AL237" s="21"/>
      <c r="AM237" s="22"/>
      <c r="AN237" s="23"/>
      <c r="AO237" s="24"/>
      <c r="AP237" s="25"/>
      <c r="AQ237" s="26"/>
      <c r="AR237" s="27"/>
      <c r="AS237" s="192"/>
      <c r="AT237" s="111"/>
      <c r="AU237" s="193"/>
      <c r="AV237" s="140"/>
      <c r="AW237" s="118"/>
      <c r="AX237" s="141"/>
      <c r="AY237" s="149"/>
      <c r="AZ237" s="121"/>
      <c r="BA237" s="150"/>
      <c r="BB237" s="158"/>
      <c r="BC237" s="124"/>
      <c r="BD237" s="159"/>
      <c r="BE237" s="167"/>
      <c r="BF237" s="85"/>
      <c r="BG237" s="168"/>
      <c r="BH237" s="175"/>
      <c r="BI237" s="127"/>
      <c r="BJ237" s="176"/>
      <c r="BK237" s="184"/>
      <c r="BL237" s="130"/>
      <c r="BM237" s="185"/>
      <c r="BN237" s="69"/>
      <c r="BO237" s="85"/>
      <c r="BP237" s="85"/>
      <c r="BQ237" s="85"/>
      <c r="BR237" s="85"/>
      <c r="BS237" s="85"/>
      <c r="BT237" s="85"/>
      <c r="BU237" s="87"/>
      <c r="BV237" s="87"/>
      <c r="BW237" s="87"/>
      <c r="BX237" s="87"/>
      <c r="BY237" s="87"/>
      <c r="BZ237" s="87"/>
      <c r="CA237" s="90"/>
      <c r="CB237" s="90"/>
      <c r="CC237" s="90"/>
      <c r="CD237" s="90"/>
      <c r="CE237" s="90"/>
      <c r="CF237" s="90"/>
      <c r="CG237" s="85"/>
      <c r="CH237" s="85"/>
      <c r="CI237" s="85"/>
      <c r="CJ237" s="85"/>
      <c r="CK237" s="85"/>
      <c r="CL237" s="87"/>
      <c r="CM237" s="87"/>
      <c r="CN237" s="87"/>
      <c r="CO237" s="87"/>
      <c r="CP237" s="90"/>
      <c r="CQ237" s="90"/>
      <c r="CR237" s="90"/>
      <c r="CS237" s="90"/>
      <c r="CT237" s="85"/>
      <c r="CU237" s="85"/>
      <c r="CV237" s="85"/>
      <c r="CW237" s="85"/>
      <c r="CX237" s="85"/>
      <c r="CY237" s="85"/>
      <c r="CZ237" s="85"/>
      <c r="DA237" s="33">
        <f t="shared" si="3"/>
        <v>0</v>
      </c>
    </row>
    <row r="238" spans="36:105" ht="19" x14ac:dyDescent="0.25">
      <c r="AJ238" s="63"/>
      <c r="AK238" s="20"/>
      <c r="AL238" s="21"/>
      <c r="AM238" s="22"/>
      <c r="AN238" s="23"/>
      <c r="AO238" s="24"/>
      <c r="AP238" s="25"/>
      <c r="AQ238" s="26"/>
      <c r="AR238" s="27"/>
      <c r="AS238" s="192"/>
      <c r="AT238" s="111"/>
      <c r="AU238" s="193"/>
      <c r="AV238" s="140"/>
      <c r="AW238" s="118"/>
      <c r="AX238" s="141"/>
      <c r="AY238" s="149"/>
      <c r="AZ238" s="121"/>
      <c r="BA238" s="150"/>
      <c r="BB238" s="158"/>
      <c r="BC238" s="124"/>
      <c r="BD238" s="159"/>
      <c r="BE238" s="167"/>
      <c r="BF238" s="85"/>
      <c r="BG238" s="168"/>
      <c r="BH238" s="175"/>
      <c r="BI238" s="127"/>
      <c r="BJ238" s="176"/>
      <c r="BK238" s="184"/>
      <c r="BL238" s="130"/>
      <c r="BM238" s="185"/>
      <c r="BN238" s="69"/>
      <c r="BO238" s="85"/>
      <c r="BP238" s="85"/>
      <c r="BQ238" s="85"/>
      <c r="BR238" s="85"/>
      <c r="BS238" s="85"/>
      <c r="BT238" s="85"/>
      <c r="BU238" s="87"/>
      <c r="BV238" s="87"/>
      <c r="BW238" s="87"/>
      <c r="BX238" s="87"/>
      <c r="BY238" s="87"/>
      <c r="BZ238" s="87"/>
      <c r="CA238" s="90"/>
      <c r="CB238" s="90"/>
      <c r="CC238" s="90"/>
      <c r="CD238" s="90"/>
      <c r="CE238" s="90"/>
      <c r="CF238" s="90"/>
      <c r="CG238" s="85"/>
      <c r="CH238" s="85"/>
      <c r="CI238" s="85"/>
      <c r="CJ238" s="85"/>
      <c r="CK238" s="85"/>
      <c r="CL238" s="87"/>
      <c r="CM238" s="87"/>
      <c r="CN238" s="87"/>
      <c r="CO238" s="87"/>
      <c r="CP238" s="90"/>
      <c r="CQ238" s="90"/>
      <c r="CR238" s="90"/>
      <c r="CS238" s="90"/>
      <c r="CT238" s="85"/>
      <c r="CU238" s="85"/>
      <c r="CV238" s="85"/>
      <c r="CW238" s="85"/>
      <c r="CX238" s="85"/>
      <c r="CY238" s="85"/>
      <c r="CZ238" s="85"/>
      <c r="DA238" s="33">
        <f t="shared" si="3"/>
        <v>0</v>
      </c>
    </row>
    <row r="239" spans="36:105" ht="19" x14ac:dyDescent="0.25">
      <c r="AJ239" s="63"/>
      <c r="AK239" s="20"/>
      <c r="AL239" s="21"/>
      <c r="AM239" s="22"/>
      <c r="AN239" s="23"/>
      <c r="AO239" s="24"/>
      <c r="AP239" s="25"/>
      <c r="AQ239" s="26"/>
      <c r="AR239" s="27"/>
      <c r="AS239" s="192"/>
      <c r="AT239" s="111"/>
      <c r="AU239" s="193"/>
      <c r="AV239" s="140"/>
      <c r="AW239" s="118"/>
      <c r="AX239" s="141"/>
      <c r="AY239" s="149"/>
      <c r="AZ239" s="121"/>
      <c r="BA239" s="150"/>
      <c r="BB239" s="158"/>
      <c r="BC239" s="124"/>
      <c r="BD239" s="159"/>
      <c r="BE239" s="167"/>
      <c r="BF239" s="85"/>
      <c r="BG239" s="168"/>
      <c r="BH239" s="175"/>
      <c r="BI239" s="127"/>
      <c r="BJ239" s="176"/>
      <c r="BK239" s="184"/>
      <c r="BL239" s="130"/>
      <c r="BM239" s="185"/>
      <c r="BN239" s="69"/>
      <c r="BO239" s="85"/>
      <c r="BP239" s="85"/>
      <c r="BQ239" s="85"/>
      <c r="BR239" s="85"/>
      <c r="BS239" s="85"/>
      <c r="BT239" s="85"/>
      <c r="BU239" s="87"/>
      <c r="BV239" s="87"/>
      <c r="BW239" s="87"/>
      <c r="BX239" s="87"/>
      <c r="BY239" s="87"/>
      <c r="BZ239" s="87"/>
      <c r="CA239" s="90"/>
      <c r="CB239" s="90"/>
      <c r="CC239" s="90"/>
      <c r="CD239" s="90"/>
      <c r="CE239" s="90"/>
      <c r="CF239" s="90"/>
      <c r="CG239" s="85"/>
      <c r="CH239" s="85"/>
      <c r="CI239" s="85"/>
      <c r="CJ239" s="85"/>
      <c r="CK239" s="85"/>
      <c r="CL239" s="87"/>
      <c r="CM239" s="87"/>
      <c r="CN239" s="87"/>
      <c r="CO239" s="87"/>
      <c r="CP239" s="90"/>
      <c r="CQ239" s="90"/>
      <c r="CR239" s="90"/>
      <c r="CS239" s="90"/>
      <c r="CT239" s="85"/>
      <c r="CU239" s="85"/>
      <c r="CV239" s="85"/>
      <c r="CW239" s="85"/>
      <c r="CX239" s="85"/>
      <c r="CY239" s="85"/>
      <c r="CZ239" s="85"/>
      <c r="DA239" s="33">
        <f t="shared" si="3"/>
        <v>0</v>
      </c>
    </row>
    <row r="240" spans="36:105" ht="19" x14ac:dyDescent="0.25">
      <c r="AJ240" s="63"/>
      <c r="AK240" s="20"/>
      <c r="AL240" s="21"/>
      <c r="AM240" s="22"/>
      <c r="AN240" s="23"/>
      <c r="AO240" s="24"/>
      <c r="AP240" s="25"/>
      <c r="AQ240" s="26"/>
      <c r="AR240" s="27"/>
      <c r="AS240" s="192"/>
      <c r="AT240" s="111"/>
      <c r="AU240" s="193"/>
      <c r="AV240" s="140"/>
      <c r="AW240" s="118"/>
      <c r="AX240" s="141"/>
      <c r="AY240" s="149"/>
      <c r="AZ240" s="121"/>
      <c r="BA240" s="150"/>
      <c r="BB240" s="158"/>
      <c r="BC240" s="124"/>
      <c r="BD240" s="159"/>
      <c r="BE240" s="167"/>
      <c r="BF240" s="85"/>
      <c r="BG240" s="168"/>
      <c r="BH240" s="175"/>
      <c r="BI240" s="127"/>
      <c r="BJ240" s="176"/>
      <c r="BK240" s="184"/>
      <c r="BL240" s="130"/>
      <c r="BM240" s="185"/>
      <c r="BN240" s="69"/>
      <c r="BO240" s="85"/>
      <c r="BP240" s="85"/>
      <c r="BQ240" s="85"/>
      <c r="BR240" s="85"/>
      <c r="BS240" s="85"/>
      <c r="BT240" s="85"/>
      <c r="BU240" s="87"/>
      <c r="BV240" s="87"/>
      <c r="BW240" s="87"/>
      <c r="BX240" s="87"/>
      <c r="BY240" s="87"/>
      <c r="BZ240" s="87"/>
      <c r="CA240" s="90"/>
      <c r="CB240" s="90"/>
      <c r="CC240" s="90"/>
      <c r="CD240" s="90"/>
      <c r="CE240" s="90"/>
      <c r="CF240" s="90"/>
      <c r="CG240" s="85"/>
      <c r="CH240" s="85"/>
      <c r="CI240" s="85"/>
      <c r="CJ240" s="85"/>
      <c r="CK240" s="85"/>
      <c r="CL240" s="87"/>
      <c r="CM240" s="87"/>
      <c r="CN240" s="87"/>
      <c r="CO240" s="87"/>
      <c r="CP240" s="90"/>
      <c r="CQ240" s="90"/>
      <c r="CR240" s="90"/>
      <c r="CS240" s="90"/>
      <c r="CT240" s="85"/>
      <c r="CU240" s="85"/>
      <c r="CV240" s="85"/>
      <c r="CW240" s="85"/>
      <c r="CX240" s="85"/>
      <c r="CY240" s="85"/>
      <c r="CZ240" s="85"/>
      <c r="DA240" s="33">
        <f t="shared" si="3"/>
        <v>0</v>
      </c>
    </row>
    <row r="241" spans="36:105" ht="19" x14ac:dyDescent="0.25">
      <c r="AJ241" s="63"/>
      <c r="AK241" s="20"/>
      <c r="AL241" s="21"/>
      <c r="AM241" s="22"/>
      <c r="AN241" s="23"/>
      <c r="AO241" s="24"/>
      <c r="AP241" s="25"/>
      <c r="AQ241" s="26"/>
      <c r="AR241" s="27"/>
      <c r="AS241" s="192"/>
      <c r="AT241" s="111"/>
      <c r="AU241" s="193"/>
      <c r="AV241" s="140"/>
      <c r="AW241" s="118"/>
      <c r="AX241" s="141"/>
      <c r="AY241" s="149"/>
      <c r="AZ241" s="121"/>
      <c r="BA241" s="150"/>
      <c r="BB241" s="158"/>
      <c r="BC241" s="124"/>
      <c r="BD241" s="159"/>
      <c r="BE241" s="167"/>
      <c r="BF241" s="85"/>
      <c r="BG241" s="168"/>
      <c r="BH241" s="175"/>
      <c r="BI241" s="127"/>
      <c r="BJ241" s="176"/>
      <c r="BK241" s="184"/>
      <c r="BL241" s="130"/>
      <c r="BM241" s="185"/>
      <c r="BN241" s="69"/>
      <c r="BO241" s="85"/>
      <c r="BP241" s="85"/>
      <c r="BQ241" s="85"/>
      <c r="BR241" s="85"/>
      <c r="BS241" s="85"/>
      <c r="BT241" s="85"/>
      <c r="BU241" s="87"/>
      <c r="BV241" s="87"/>
      <c r="BW241" s="87"/>
      <c r="BX241" s="87"/>
      <c r="BY241" s="87"/>
      <c r="BZ241" s="87"/>
      <c r="CA241" s="90"/>
      <c r="CB241" s="90"/>
      <c r="CC241" s="90"/>
      <c r="CD241" s="90"/>
      <c r="CE241" s="90"/>
      <c r="CF241" s="90"/>
      <c r="CG241" s="85"/>
      <c r="CH241" s="85"/>
      <c r="CI241" s="85"/>
      <c r="CJ241" s="85"/>
      <c r="CK241" s="85"/>
      <c r="CL241" s="87"/>
      <c r="CM241" s="87"/>
      <c r="CN241" s="87"/>
      <c r="CO241" s="87"/>
      <c r="CP241" s="90"/>
      <c r="CQ241" s="90"/>
      <c r="CR241" s="90"/>
      <c r="CS241" s="90"/>
      <c r="CT241" s="85"/>
      <c r="CU241" s="85"/>
      <c r="CV241" s="85"/>
      <c r="CW241" s="85"/>
      <c r="CX241" s="85"/>
      <c r="CY241" s="85"/>
      <c r="CZ241" s="85"/>
      <c r="DA241" s="33">
        <f t="shared" si="3"/>
        <v>0</v>
      </c>
    </row>
    <row r="242" spans="36:105" ht="19" x14ac:dyDescent="0.25">
      <c r="AJ242" s="63"/>
      <c r="AK242" s="20"/>
      <c r="AL242" s="21"/>
      <c r="AM242" s="22"/>
      <c r="AN242" s="23"/>
      <c r="AO242" s="24"/>
      <c r="AP242" s="25"/>
      <c r="AQ242" s="26"/>
      <c r="AR242" s="27"/>
      <c r="AS242" s="192"/>
      <c r="AT242" s="111"/>
      <c r="AU242" s="193"/>
      <c r="AV242" s="140"/>
      <c r="AW242" s="118"/>
      <c r="AX242" s="141"/>
      <c r="AY242" s="149"/>
      <c r="AZ242" s="121"/>
      <c r="BA242" s="150"/>
      <c r="BB242" s="158"/>
      <c r="BC242" s="124"/>
      <c r="BD242" s="159"/>
      <c r="BE242" s="167"/>
      <c r="BF242" s="85"/>
      <c r="BG242" s="168"/>
      <c r="BH242" s="175"/>
      <c r="BI242" s="127"/>
      <c r="BJ242" s="176"/>
      <c r="BK242" s="184"/>
      <c r="BL242" s="130"/>
      <c r="BM242" s="185"/>
      <c r="BN242" s="69"/>
      <c r="BO242" s="85"/>
      <c r="BP242" s="85"/>
      <c r="BQ242" s="85"/>
      <c r="BR242" s="85"/>
      <c r="BS242" s="85"/>
      <c r="BT242" s="85"/>
      <c r="BU242" s="87"/>
      <c r="BV242" s="87"/>
      <c r="BW242" s="87"/>
      <c r="BX242" s="87"/>
      <c r="BY242" s="87"/>
      <c r="BZ242" s="87"/>
      <c r="CA242" s="90"/>
      <c r="CB242" s="90"/>
      <c r="CC242" s="90"/>
      <c r="CD242" s="90"/>
      <c r="CE242" s="90"/>
      <c r="CF242" s="90"/>
      <c r="CG242" s="85"/>
      <c r="CH242" s="85"/>
      <c r="CI242" s="85"/>
      <c r="CJ242" s="85"/>
      <c r="CK242" s="85"/>
      <c r="CL242" s="87"/>
      <c r="CM242" s="87"/>
      <c r="CN242" s="87"/>
      <c r="CO242" s="87"/>
      <c r="CP242" s="90"/>
      <c r="CQ242" s="90"/>
      <c r="CR242" s="90"/>
      <c r="CS242" s="90"/>
      <c r="CT242" s="85"/>
      <c r="CU242" s="85"/>
      <c r="CV242" s="85"/>
      <c r="CW242" s="85"/>
      <c r="CX242" s="85"/>
      <c r="CY242" s="85"/>
      <c r="CZ242" s="85"/>
      <c r="DA242" s="33">
        <f t="shared" si="3"/>
        <v>0</v>
      </c>
    </row>
    <row r="243" spans="36:105" ht="19" x14ac:dyDescent="0.25">
      <c r="AJ243" s="63"/>
      <c r="AK243" s="20"/>
      <c r="AL243" s="21"/>
      <c r="AM243" s="22"/>
      <c r="AN243" s="23"/>
      <c r="AO243" s="24"/>
      <c r="AP243" s="25"/>
      <c r="AQ243" s="26"/>
      <c r="AR243" s="27"/>
      <c r="AS243" s="192"/>
      <c r="AT243" s="111"/>
      <c r="AU243" s="193"/>
      <c r="AV243" s="140"/>
      <c r="AW243" s="118"/>
      <c r="AX243" s="141"/>
      <c r="AY243" s="149"/>
      <c r="AZ243" s="121"/>
      <c r="BA243" s="150"/>
      <c r="BB243" s="158"/>
      <c r="BC243" s="124"/>
      <c r="BD243" s="159"/>
      <c r="BE243" s="167"/>
      <c r="BF243" s="85"/>
      <c r="BG243" s="168"/>
      <c r="BH243" s="175"/>
      <c r="BI243" s="127"/>
      <c r="BJ243" s="176"/>
      <c r="BK243" s="184"/>
      <c r="BL243" s="130"/>
      <c r="BM243" s="185"/>
      <c r="BN243" s="69"/>
      <c r="BO243" s="85"/>
      <c r="BP243" s="85"/>
      <c r="BQ243" s="85"/>
      <c r="BR243" s="85"/>
      <c r="BS243" s="85"/>
      <c r="BT243" s="85"/>
      <c r="BU243" s="87"/>
      <c r="BV243" s="87"/>
      <c r="BW243" s="87"/>
      <c r="BX243" s="87"/>
      <c r="BY243" s="87"/>
      <c r="BZ243" s="87"/>
      <c r="CA243" s="90"/>
      <c r="CB243" s="90"/>
      <c r="CC243" s="90"/>
      <c r="CD243" s="90"/>
      <c r="CE243" s="90"/>
      <c r="CF243" s="90"/>
      <c r="CG243" s="85"/>
      <c r="CH243" s="85"/>
      <c r="CI243" s="85"/>
      <c r="CJ243" s="85"/>
      <c r="CK243" s="85"/>
      <c r="CL243" s="87"/>
      <c r="CM243" s="87"/>
      <c r="CN243" s="87"/>
      <c r="CO243" s="87"/>
      <c r="CP243" s="90"/>
      <c r="CQ243" s="90"/>
      <c r="CR243" s="90"/>
      <c r="CS243" s="90"/>
      <c r="CT243" s="85"/>
      <c r="CU243" s="85"/>
      <c r="CV243" s="85"/>
      <c r="CW243" s="85"/>
      <c r="CX243" s="85"/>
      <c r="CY243" s="85"/>
      <c r="CZ243" s="85"/>
      <c r="DA243" s="33">
        <f t="shared" si="3"/>
        <v>0</v>
      </c>
    </row>
    <row r="244" spans="36:105" ht="19" x14ac:dyDescent="0.25">
      <c r="AJ244" s="63"/>
      <c r="AK244" s="20"/>
      <c r="AL244" s="21"/>
      <c r="AM244" s="22"/>
      <c r="AN244" s="23"/>
      <c r="AO244" s="24"/>
      <c r="AP244" s="25"/>
      <c r="AQ244" s="26"/>
      <c r="AR244" s="27"/>
      <c r="AS244" s="192"/>
      <c r="AT244" s="111"/>
      <c r="AU244" s="193"/>
      <c r="AV244" s="140"/>
      <c r="AW244" s="118"/>
      <c r="AX244" s="141"/>
      <c r="AY244" s="149"/>
      <c r="AZ244" s="121"/>
      <c r="BA244" s="150"/>
      <c r="BB244" s="158"/>
      <c r="BC244" s="124"/>
      <c r="BD244" s="159"/>
      <c r="BE244" s="167"/>
      <c r="BF244" s="85"/>
      <c r="BG244" s="168"/>
      <c r="BH244" s="175"/>
      <c r="BI244" s="127"/>
      <c r="BJ244" s="176"/>
      <c r="BK244" s="184"/>
      <c r="BL244" s="130"/>
      <c r="BM244" s="185"/>
      <c r="BN244" s="69"/>
      <c r="BO244" s="85"/>
      <c r="BP244" s="85"/>
      <c r="BQ244" s="85"/>
      <c r="BR244" s="85"/>
      <c r="BS244" s="85"/>
      <c r="BT244" s="85"/>
      <c r="BU244" s="87"/>
      <c r="BV244" s="87"/>
      <c r="BW244" s="87"/>
      <c r="BX244" s="87"/>
      <c r="BY244" s="87"/>
      <c r="BZ244" s="87"/>
      <c r="CA244" s="90"/>
      <c r="CB244" s="90"/>
      <c r="CC244" s="90"/>
      <c r="CD244" s="90"/>
      <c r="CE244" s="90"/>
      <c r="CF244" s="90"/>
      <c r="CG244" s="85"/>
      <c r="CH244" s="85"/>
      <c r="CI244" s="85"/>
      <c r="CJ244" s="85"/>
      <c r="CK244" s="85"/>
      <c r="CL244" s="87"/>
      <c r="CM244" s="87"/>
      <c r="CN244" s="87"/>
      <c r="CO244" s="87"/>
      <c r="CP244" s="90"/>
      <c r="CQ244" s="90"/>
      <c r="CR244" s="90"/>
      <c r="CS244" s="90"/>
      <c r="CT244" s="85"/>
      <c r="CU244" s="85"/>
      <c r="CV244" s="85"/>
      <c r="CW244" s="85"/>
      <c r="CX244" s="85"/>
      <c r="CY244" s="85"/>
      <c r="CZ244" s="85"/>
      <c r="DA244" s="33">
        <f t="shared" si="3"/>
        <v>0</v>
      </c>
    </row>
    <row r="245" spans="36:105" ht="19" x14ac:dyDescent="0.25">
      <c r="AJ245" s="63"/>
      <c r="AK245" s="20"/>
      <c r="AL245" s="21"/>
      <c r="AM245" s="22"/>
      <c r="AN245" s="23"/>
      <c r="AO245" s="24"/>
      <c r="AP245" s="25"/>
      <c r="AQ245" s="26"/>
      <c r="AR245" s="27"/>
      <c r="AS245" s="192"/>
      <c r="AT245" s="111"/>
      <c r="AU245" s="193"/>
      <c r="AV245" s="140"/>
      <c r="AW245" s="118"/>
      <c r="AX245" s="141"/>
      <c r="AY245" s="149"/>
      <c r="AZ245" s="121"/>
      <c r="BA245" s="150"/>
      <c r="BB245" s="158"/>
      <c r="BC245" s="124"/>
      <c r="BD245" s="159"/>
      <c r="BE245" s="167"/>
      <c r="BF245" s="85"/>
      <c r="BG245" s="168"/>
      <c r="BH245" s="175"/>
      <c r="BI245" s="127"/>
      <c r="BJ245" s="176"/>
      <c r="BK245" s="184"/>
      <c r="BL245" s="130"/>
      <c r="BM245" s="185"/>
      <c r="BN245" s="69"/>
      <c r="BO245" s="85"/>
      <c r="BP245" s="85"/>
      <c r="BQ245" s="85"/>
      <c r="BR245" s="85"/>
      <c r="BS245" s="85"/>
      <c r="BT245" s="85"/>
      <c r="BU245" s="87"/>
      <c r="BV245" s="87"/>
      <c r="BW245" s="87"/>
      <c r="BX245" s="87"/>
      <c r="BY245" s="87"/>
      <c r="BZ245" s="87"/>
      <c r="CA245" s="90"/>
      <c r="CB245" s="90"/>
      <c r="CC245" s="90"/>
      <c r="CD245" s="90"/>
      <c r="CE245" s="90"/>
      <c r="CF245" s="90"/>
      <c r="CG245" s="85"/>
      <c r="CH245" s="85"/>
      <c r="CI245" s="85"/>
      <c r="CJ245" s="85"/>
      <c r="CK245" s="85"/>
      <c r="CL245" s="87"/>
      <c r="CM245" s="87"/>
      <c r="CN245" s="87"/>
      <c r="CO245" s="87"/>
      <c r="CP245" s="90"/>
      <c r="CQ245" s="90"/>
      <c r="CR245" s="90"/>
      <c r="CS245" s="90"/>
      <c r="CT245" s="85"/>
      <c r="CU245" s="85"/>
      <c r="CV245" s="85"/>
      <c r="CW245" s="85"/>
      <c r="CX245" s="85"/>
      <c r="CY245" s="85"/>
      <c r="CZ245" s="85"/>
      <c r="DA245" s="33">
        <f t="shared" si="3"/>
        <v>0</v>
      </c>
    </row>
    <row r="246" spans="36:105" ht="19" x14ac:dyDescent="0.25">
      <c r="AJ246" s="63"/>
      <c r="AK246" s="20"/>
      <c r="AL246" s="21"/>
      <c r="AM246" s="22"/>
      <c r="AN246" s="23"/>
      <c r="AO246" s="24"/>
      <c r="AP246" s="25"/>
      <c r="AQ246" s="26"/>
      <c r="AR246" s="27"/>
      <c r="AS246" s="192"/>
      <c r="AT246" s="111"/>
      <c r="AU246" s="193"/>
      <c r="AV246" s="140"/>
      <c r="AW246" s="118"/>
      <c r="AX246" s="141"/>
      <c r="AY246" s="149"/>
      <c r="AZ246" s="121"/>
      <c r="BA246" s="150"/>
      <c r="BB246" s="158"/>
      <c r="BC246" s="124"/>
      <c r="BD246" s="159"/>
      <c r="BE246" s="167"/>
      <c r="BF246" s="85"/>
      <c r="BG246" s="168"/>
      <c r="BH246" s="175"/>
      <c r="BI246" s="127"/>
      <c r="BJ246" s="176"/>
      <c r="BK246" s="184"/>
      <c r="BL246" s="130"/>
      <c r="BM246" s="185"/>
      <c r="BN246" s="69"/>
      <c r="BO246" s="85"/>
      <c r="BP246" s="85"/>
      <c r="BQ246" s="85"/>
      <c r="BR246" s="85"/>
      <c r="BS246" s="85"/>
      <c r="BT246" s="85"/>
      <c r="BU246" s="87"/>
      <c r="BV246" s="87"/>
      <c r="BW246" s="87"/>
      <c r="BX246" s="87"/>
      <c r="BY246" s="87"/>
      <c r="BZ246" s="87"/>
      <c r="CA246" s="90"/>
      <c r="CB246" s="90"/>
      <c r="CC246" s="90"/>
      <c r="CD246" s="90"/>
      <c r="CE246" s="90"/>
      <c r="CF246" s="90"/>
      <c r="CG246" s="85"/>
      <c r="CH246" s="85"/>
      <c r="CI246" s="85"/>
      <c r="CJ246" s="85"/>
      <c r="CK246" s="85"/>
      <c r="CL246" s="87"/>
      <c r="CM246" s="87"/>
      <c r="CN246" s="87"/>
      <c r="CO246" s="87"/>
      <c r="CP246" s="90"/>
      <c r="CQ246" s="90"/>
      <c r="CR246" s="90"/>
      <c r="CS246" s="90"/>
      <c r="CT246" s="85"/>
      <c r="CU246" s="85"/>
      <c r="CV246" s="85"/>
      <c r="CW246" s="85"/>
      <c r="CX246" s="85"/>
      <c r="CY246" s="85"/>
      <c r="CZ246" s="85"/>
      <c r="DA246" s="33">
        <f t="shared" si="3"/>
        <v>0</v>
      </c>
    </row>
    <row r="247" spans="36:105" ht="19" x14ac:dyDescent="0.25">
      <c r="AJ247" s="63"/>
      <c r="AK247" s="20"/>
      <c r="AL247" s="21"/>
      <c r="AM247" s="22"/>
      <c r="AN247" s="23"/>
      <c r="AO247" s="24"/>
      <c r="AP247" s="25"/>
      <c r="AQ247" s="26"/>
      <c r="AR247" s="27"/>
      <c r="AS247" s="192"/>
      <c r="AT247" s="111"/>
      <c r="AU247" s="193"/>
      <c r="AV247" s="140"/>
      <c r="AW247" s="118"/>
      <c r="AX247" s="141"/>
      <c r="AY247" s="149"/>
      <c r="AZ247" s="121"/>
      <c r="BA247" s="150"/>
      <c r="BB247" s="158"/>
      <c r="BC247" s="124"/>
      <c r="BD247" s="159"/>
      <c r="BE247" s="167"/>
      <c r="BF247" s="85"/>
      <c r="BG247" s="168"/>
      <c r="BH247" s="175"/>
      <c r="BI247" s="127"/>
      <c r="BJ247" s="176"/>
      <c r="BK247" s="184"/>
      <c r="BL247" s="130"/>
      <c r="BM247" s="185"/>
      <c r="BN247" s="69"/>
      <c r="BO247" s="85"/>
      <c r="BP247" s="85"/>
      <c r="BQ247" s="85"/>
      <c r="BR247" s="85"/>
      <c r="BS247" s="85"/>
      <c r="BT247" s="85"/>
      <c r="BU247" s="87"/>
      <c r="BV247" s="87"/>
      <c r="BW247" s="87"/>
      <c r="BX247" s="87"/>
      <c r="BY247" s="87"/>
      <c r="BZ247" s="87"/>
      <c r="CA247" s="90"/>
      <c r="CB247" s="90"/>
      <c r="CC247" s="90"/>
      <c r="CD247" s="90"/>
      <c r="CE247" s="90"/>
      <c r="CF247" s="90"/>
      <c r="CG247" s="85"/>
      <c r="CH247" s="85"/>
      <c r="CI247" s="85"/>
      <c r="CJ247" s="85"/>
      <c r="CK247" s="85"/>
      <c r="CL247" s="87"/>
      <c r="CM247" s="87"/>
      <c r="CN247" s="87"/>
      <c r="CO247" s="87"/>
      <c r="CP247" s="90"/>
      <c r="CQ247" s="90"/>
      <c r="CR247" s="90"/>
      <c r="CS247" s="90"/>
      <c r="CT247" s="85"/>
      <c r="CU247" s="85"/>
      <c r="CV247" s="85"/>
      <c r="CW247" s="85"/>
      <c r="CX247" s="85"/>
      <c r="CY247" s="85"/>
      <c r="CZ247" s="85"/>
      <c r="DA247" s="33">
        <f t="shared" si="3"/>
        <v>0</v>
      </c>
    </row>
    <row r="248" spans="36:105" ht="19" x14ac:dyDescent="0.25">
      <c r="AJ248" s="63"/>
      <c r="AK248" s="20"/>
      <c r="AL248" s="21"/>
      <c r="AM248" s="22"/>
      <c r="AN248" s="23"/>
      <c r="AO248" s="24"/>
      <c r="AP248" s="25"/>
      <c r="AQ248" s="26"/>
      <c r="AR248" s="27"/>
      <c r="AS248" s="192"/>
      <c r="AT248" s="111"/>
      <c r="AU248" s="193"/>
      <c r="AV248" s="140"/>
      <c r="AW248" s="118"/>
      <c r="AX248" s="141"/>
      <c r="AY248" s="149"/>
      <c r="AZ248" s="121"/>
      <c r="BA248" s="150"/>
      <c r="BB248" s="158"/>
      <c r="BC248" s="124"/>
      <c r="BD248" s="159"/>
      <c r="BE248" s="167"/>
      <c r="BF248" s="85"/>
      <c r="BG248" s="168"/>
      <c r="BH248" s="175"/>
      <c r="BI248" s="127"/>
      <c r="BJ248" s="176"/>
      <c r="BK248" s="184"/>
      <c r="BL248" s="130"/>
      <c r="BM248" s="185"/>
      <c r="BN248" s="69"/>
      <c r="BO248" s="85"/>
      <c r="BP248" s="85"/>
      <c r="BQ248" s="85"/>
      <c r="BR248" s="85"/>
      <c r="BS248" s="85"/>
      <c r="BT248" s="85"/>
      <c r="BU248" s="87"/>
      <c r="BV248" s="87"/>
      <c r="BW248" s="87"/>
      <c r="BX248" s="87"/>
      <c r="BY248" s="87"/>
      <c r="BZ248" s="87"/>
      <c r="CA248" s="90"/>
      <c r="CB248" s="90"/>
      <c r="CC248" s="90"/>
      <c r="CD248" s="90"/>
      <c r="CE248" s="90"/>
      <c r="CF248" s="90"/>
      <c r="CG248" s="85"/>
      <c r="CH248" s="85"/>
      <c r="CI248" s="85"/>
      <c r="CJ248" s="85"/>
      <c r="CK248" s="85"/>
      <c r="CL248" s="87"/>
      <c r="CM248" s="87"/>
      <c r="CN248" s="87"/>
      <c r="CO248" s="87"/>
      <c r="CP248" s="90"/>
      <c r="CQ248" s="90"/>
      <c r="CR248" s="90"/>
      <c r="CS248" s="90"/>
      <c r="CT248" s="85"/>
      <c r="CU248" s="85"/>
      <c r="CV248" s="85"/>
      <c r="CW248" s="85"/>
      <c r="CX248" s="85"/>
      <c r="CY248" s="85"/>
      <c r="CZ248" s="85"/>
      <c r="DA248" s="33">
        <f t="shared" si="3"/>
        <v>0</v>
      </c>
    </row>
    <row r="249" spans="36:105" ht="19" x14ac:dyDescent="0.25">
      <c r="AJ249" s="63"/>
      <c r="AK249" s="20"/>
      <c r="AL249" s="21"/>
      <c r="AM249" s="22"/>
      <c r="AN249" s="23"/>
      <c r="AO249" s="24"/>
      <c r="AP249" s="25"/>
      <c r="AQ249" s="26"/>
      <c r="AR249" s="27"/>
      <c r="AS249" s="192"/>
      <c r="AT249" s="111"/>
      <c r="AU249" s="193"/>
      <c r="AV249" s="140"/>
      <c r="AW249" s="118"/>
      <c r="AX249" s="141"/>
      <c r="AY249" s="149"/>
      <c r="AZ249" s="121"/>
      <c r="BA249" s="150"/>
      <c r="BB249" s="158"/>
      <c r="BC249" s="124"/>
      <c r="BD249" s="159"/>
      <c r="BE249" s="167"/>
      <c r="BF249" s="85"/>
      <c r="BG249" s="168"/>
      <c r="BH249" s="175"/>
      <c r="BI249" s="127"/>
      <c r="BJ249" s="176"/>
      <c r="BK249" s="184"/>
      <c r="BL249" s="130"/>
      <c r="BM249" s="185"/>
      <c r="BN249" s="69"/>
      <c r="BO249" s="85"/>
      <c r="BP249" s="85"/>
      <c r="BQ249" s="85"/>
      <c r="BR249" s="85"/>
      <c r="BS249" s="85"/>
      <c r="BT249" s="85"/>
      <c r="BU249" s="87"/>
      <c r="BV249" s="87"/>
      <c r="BW249" s="87"/>
      <c r="BX249" s="87"/>
      <c r="BY249" s="87"/>
      <c r="BZ249" s="87"/>
      <c r="CA249" s="90"/>
      <c r="CB249" s="90"/>
      <c r="CC249" s="90"/>
      <c r="CD249" s="90"/>
      <c r="CE249" s="90"/>
      <c r="CF249" s="90"/>
      <c r="CG249" s="85"/>
      <c r="CH249" s="85"/>
      <c r="CI249" s="85"/>
      <c r="CJ249" s="85"/>
      <c r="CK249" s="85"/>
      <c r="CL249" s="87"/>
      <c r="CM249" s="87"/>
      <c r="CN249" s="87"/>
      <c r="CO249" s="87"/>
      <c r="CP249" s="90"/>
      <c r="CQ249" s="90"/>
      <c r="CR249" s="90"/>
      <c r="CS249" s="90"/>
      <c r="CT249" s="85"/>
      <c r="CU249" s="85"/>
      <c r="CV249" s="85"/>
      <c r="CW249" s="85"/>
      <c r="CX249" s="85"/>
      <c r="CY249" s="85"/>
      <c r="CZ249" s="85"/>
      <c r="DA249" s="33">
        <f t="shared" si="3"/>
        <v>0</v>
      </c>
    </row>
    <row r="250" spans="36:105" ht="19" x14ac:dyDescent="0.25">
      <c r="AJ250" s="63"/>
      <c r="AK250" s="20"/>
      <c r="AL250" s="21"/>
      <c r="AM250" s="22"/>
      <c r="AN250" s="23"/>
      <c r="AO250" s="24"/>
      <c r="AP250" s="25"/>
      <c r="AQ250" s="26"/>
      <c r="AR250" s="27"/>
      <c r="AS250" s="192"/>
      <c r="AT250" s="111"/>
      <c r="AU250" s="193"/>
      <c r="AV250" s="140"/>
      <c r="AW250" s="118"/>
      <c r="AX250" s="141"/>
      <c r="AY250" s="149"/>
      <c r="AZ250" s="121"/>
      <c r="BA250" s="150"/>
      <c r="BB250" s="158"/>
      <c r="BC250" s="124"/>
      <c r="BD250" s="159"/>
      <c r="BE250" s="167"/>
      <c r="BF250" s="85"/>
      <c r="BG250" s="168"/>
      <c r="BH250" s="175"/>
      <c r="BI250" s="127"/>
      <c r="BJ250" s="176"/>
      <c r="BK250" s="184"/>
      <c r="BL250" s="130"/>
      <c r="BM250" s="185"/>
      <c r="BN250" s="69"/>
      <c r="BO250" s="85"/>
      <c r="BP250" s="85"/>
      <c r="BQ250" s="85"/>
      <c r="BR250" s="85"/>
      <c r="BS250" s="85"/>
      <c r="BT250" s="85"/>
      <c r="BU250" s="87"/>
      <c r="BV250" s="87"/>
      <c r="BW250" s="87"/>
      <c r="BX250" s="87"/>
      <c r="BY250" s="87"/>
      <c r="BZ250" s="87"/>
      <c r="CA250" s="90"/>
      <c r="CB250" s="90"/>
      <c r="CC250" s="90"/>
      <c r="CD250" s="90"/>
      <c r="CE250" s="90"/>
      <c r="CF250" s="90"/>
      <c r="CG250" s="85"/>
      <c r="CH250" s="85"/>
      <c r="CI250" s="85"/>
      <c r="CJ250" s="85"/>
      <c r="CK250" s="85"/>
      <c r="CL250" s="87"/>
      <c r="CM250" s="87"/>
      <c r="CN250" s="87"/>
      <c r="CO250" s="87"/>
      <c r="CP250" s="90"/>
      <c r="CQ250" s="90"/>
      <c r="CR250" s="90"/>
      <c r="CS250" s="90"/>
      <c r="CT250" s="85"/>
      <c r="CU250" s="85"/>
      <c r="CV250" s="85"/>
      <c r="CW250" s="85"/>
      <c r="CX250" s="85"/>
      <c r="CY250" s="85"/>
      <c r="CZ250" s="85"/>
      <c r="DA250" s="33">
        <f t="shared" si="3"/>
        <v>0</v>
      </c>
    </row>
    <row r="251" spans="36:105" ht="19" x14ac:dyDescent="0.25">
      <c r="AJ251" s="63"/>
      <c r="AK251" s="20"/>
      <c r="AL251" s="21"/>
      <c r="AM251" s="22"/>
      <c r="AN251" s="23"/>
      <c r="AO251" s="24"/>
      <c r="AP251" s="25"/>
      <c r="AQ251" s="26"/>
      <c r="AR251" s="27"/>
      <c r="AS251" s="192"/>
      <c r="AT251" s="111"/>
      <c r="AU251" s="193"/>
      <c r="AV251" s="140"/>
      <c r="AW251" s="118"/>
      <c r="AX251" s="141"/>
      <c r="AY251" s="149"/>
      <c r="AZ251" s="121"/>
      <c r="BA251" s="150"/>
      <c r="BB251" s="158"/>
      <c r="BC251" s="124"/>
      <c r="BD251" s="159"/>
      <c r="BE251" s="167"/>
      <c r="BF251" s="85"/>
      <c r="BG251" s="168"/>
      <c r="BH251" s="175"/>
      <c r="BI251" s="127"/>
      <c r="BJ251" s="176"/>
      <c r="BK251" s="184"/>
      <c r="BL251" s="130"/>
      <c r="BM251" s="185"/>
      <c r="BN251" s="69"/>
      <c r="BO251" s="85"/>
      <c r="BP251" s="85"/>
      <c r="BQ251" s="85"/>
      <c r="BR251" s="85"/>
      <c r="BS251" s="85"/>
      <c r="BT251" s="85"/>
      <c r="BU251" s="87"/>
      <c r="BV251" s="87"/>
      <c r="BW251" s="87"/>
      <c r="BX251" s="87"/>
      <c r="BY251" s="87"/>
      <c r="BZ251" s="87"/>
      <c r="CA251" s="90"/>
      <c r="CB251" s="90"/>
      <c r="CC251" s="90"/>
      <c r="CD251" s="90"/>
      <c r="CE251" s="90"/>
      <c r="CF251" s="90"/>
      <c r="CG251" s="85"/>
      <c r="CH251" s="85"/>
      <c r="CI251" s="85"/>
      <c r="CJ251" s="85"/>
      <c r="CK251" s="85"/>
      <c r="CL251" s="87"/>
      <c r="CM251" s="87"/>
      <c r="CN251" s="87"/>
      <c r="CO251" s="87"/>
      <c r="CP251" s="90"/>
      <c r="CQ251" s="90"/>
      <c r="CR251" s="90"/>
      <c r="CS251" s="90"/>
      <c r="CT251" s="85"/>
      <c r="CU251" s="85"/>
      <c r="CV251" s="85"/>
      <c r="CW251" s="85"/>
      <c r="CX251" s="85"/>
      <c r="CY251" s="85"/>
      <c r="CZ251" s="85"/>
      <c r="DA251" s="33">
        <f t="shared" si="3"/>
        <v>0</v>
      </c>
    </row>
    <row r="252" spans="36:105" ht="19" x14ac:dyDescent="0.25">
      <c r="AJ252" s="63"/>
      <c r="AK252" s="20"/>
      <c r="AL252" s="21"/>
      <c r="AM252" s="22"/>
      <c r="AN252" s="23"/>
      <c r="AO252" s="24"/>
      <c r="AP252" s="25"/>
      <c r="AQ252" s="26"/>
      <c r="AR252" s="27"/>
      <c r="AS252" s="192"/>
      <c r="AT252" s="111"/>
      <c r="AU252" s="193"/>
      <c r="AV252" s="140"/>
      <c r="AW252" s="118"/>
      <c r="AX252" s="141"/>
      <c r="AY252" s="149"/>
      <c r="AZ252" s="121"/>
      <c r="BA252" s="150"/>
      <c r="BB252" s="158"/>
      <c r="BC252" s="124"/>
      <c r="BD252" s="159"/>
      <c r="BE252" s="167"/>
      <c r="BF252" s="85"/>
      <c r="BG252" s="168"/>
      <c r="BH252" s="175"/>
      <c r="BI252" s="127"/>
      <c r="BJ252" s="176"/>
      <c r="BK252" s="184"/>
      <c r="BL252" s="130"/>
      <c r="BM252" s="185"/>
      <c r="BN252" s="69"/>
      <c r="BO252" s="85"/>
      <c r="BP252" s="85"/>
      <c r="BQ252" s="85"/>
      <c r="BR252" s="85"/>
      <c r="BS252" s="85"/>
      <c r="BT252" s="85"/>
      <c r="BU252" s="87"/>
      <c r="BV252" s="87"/>
      <c r="BW252" s="87"/>
      <c r="BX252" s="87"/>
      <c r="BY252" s="87"/>
      <c r="BZ252" s="87"/>
      <c r="CA252" s="90"/>
      <c r="CB252" s="90"/>
      <c r="CC252" s="90"/>
      <c r="CD252" s="90"/>
      <c r="CE252" s="90"/>
      <c r="CF252" s="90"/>
      <c r="CG252" s="85"/>
      <c r="CH252" s="85"/>
      <c r="CI252" s="85"/>
      <c r="CJ252" s="85"/>
      <c r="CK252" s="85"/>
      <c r="CL252" s="87"/>
      <c r="CM252" s="87"/>
      <c r="CN252" s="87"/>
      <c r="CO252" s="87"/>
      <c r="CP252" s="90"/>
      <c r="CQ252" s="90"/>
      <c r="CR252" s="90"/>
      <c r="CS252" s="90"/>
      <c r="CT252" s="85"/>
      <c r="CU252" s="85"/>
      <c r="CV252" s="85"/>
      <c r="CW252" s="85"/>
      <c r="CX252" s="85"/>
      <c r="CY252" s="85"/>
      <c r="CZ252" s="85"/>
      <c r="DA252" s="33">
        <f t="shared" si="3"/>
        <v>0</v>
      </c>
    </row>
    <row r="253" spans="36:105" ht="19" x14ac:dyDescent="0.25">
      <c r="AJ253" s="63"/>
      <c r="AK253" s="20"/>
      <c r="AL253" s="21"/>
      <c r="AM253" s="22"/>
      <c r="AN253" s="23"/>
      <c r="AO253" s="24"/>
      <c r="AP253" s="25"/>
      <c r="AQ253" s="26"/>
      <c r="AR253" s="27"/>
      <c r="AS253" s="192"/>
      <c r="AT253" s="111"/>
      <c r="AU253" s="193"/>
      <c r="AV253" s="140"/>
      <c r="AW253" s="118"/>
      <c r="AX253" s="141"/>
      <c r="AY253" s="149"/>
      <c r="AZ253" s="121"/>
      <c r="BA253" s="150"/>
      <c r="BB253" s="158"/>
      <c r="BC253" s="124"/>
      <c r="BD253" s="159"/>
      <c r="BE253" s="167"/>
      <c r="BF253" s="85"/>
      <c r="BG253" s="168"/>
      <c r="BH253" s="175"/>
      <c r="BI253" s="127"/>
      <c r="BJ253" s="176"/>
      <c r="BK253" s="184"/>
      <c r="BL253" s="130"/>
      <c r="BM253" s="185"/>
      <c r="BN253" s="69"/>
      <c r="BO253" s="85"/>
      <c r="BP253" s="85"/>
      <c r="BQ253" s="85"/>
      <c r="BR253" s="85"/>
      <c r="BS253" s="85"/>
      <c r="BT253" s="85"/>
      <c r="BU253" s="87"/>
      <c r="BV253" s="87"/>
      <c r="BW253" s="87"/>
      <c r="BX253" s="87"/>
      <c r="BY253" s="87"/>
      <c r="BZ253" s="87"/>
      <c r="CA253" s="90"/>
      <c r="CB253" s="90"/>
      <c r="CC253" s="90"/>
      <c r="CD253" s="90"/>
      <c r="CE253" s="90"/>
      <c r="CF253" s="90"/>
      <c r="CG253" s="85"/>
      <c r="CH253" s="85"/>
      <c r="CI253" s="85"/>
      <c r="CJ253" s="85"/>
      <c r="CK253" s="85"/>
      <c r="CL253" s="87"/>
      <c r="CM253" s="87"/>
      <c r="CN253" s="87"/>
      <c r="CO253" s="87"/>
      <c r="CP253" s="90"/>
      <c r="CQ253" s="90"/>
      <c r="CR253" s="90"/>
      <c r="CS253" s="90"/>
      <c r="CT253" s="85"/>
      <c r="CU253" s="85"/>
      <c r="CV253" s="85"/>
      <c r="CW253" s="85"/>
      <c r="CX253" s="85"/>
      <c r="CY253" s="85"/>
      <c r="CZ253" s="85"/>
      <c r="DA253" s="33">
        <f t="shared" si="3"/>
        <v>0</v>
      </c>
    </row>
    <row r="254" spans="36:105" ht="19" x14ac:dyDescent="0.25">
      <c r="AJ254" s="63"/>
      <c r="AK254" s="20"/>
      <c r="AL254" s="21"/>
      <c r="AM254" s="22"/>
      <c r="AN254" s="23"/>
      <c r="AO254" s="24"/>
      <c r="AP254" s="25"/>
      <c r="AQ254" s="26"/>
      <c r="AR254" s="27"/>
      <c r="AS254" s="192"/>
      <c r="AT254" s="111"/>
      <c r="AU254" s="193"/>
      <c r="AV254" s="140"/>
      <c r="AW254" s="118"/>
      <c r="AX254" s="141"/>
      <c r="AY254" s="149"/>
      <c r="AZ254" s="121"/>
      <c r="BA254" s="150"/>
      <c r="BB254" s="158"/>
      <c r="BC254" s="124"/>
      <c r="BD254" s="159"/>
      <c r="BE254" s="167"/>
      <c r="BF254" s="85"/>
      <c r="BG254" s="168"/>
      <c r="BH254" s="175"/>
      <c r="BI254" s="127"/>
      <c r="BJ254" s="176"/>
      <c r="BK254" s="184"/>
      <c r="BL254" s="130"/>
      <c r="BM254" s="185"/>
      <c r="BN254" s="69"/>
      <c r="BO254" s="85"/>
      <c r="BP254" s="85"/>
      <c r="BQ254" s="85"/>
      <c r="BR254" s="85"/>
      <c r="BS254" s="85"/>
      <c r="BT254" s="85"/>
      <c r="BU254" s="87"/>
      <c r="BV254" s="87"/>
      <c r="BW254" s="87"/>
      <c r="BX254" s="87"/>
      <c r="BY254" s="87"/>
      <c r="BZ254" s="87"/>
      <c r="CA254" s="90"/>
      <c r="CB254" s="90"/>
      <c r="CC254" s="90"/>
      <c r="CD254" s="90"/>
      <c r="CE254" s="90"/>
      <c r="CF254" s="90"/>
      <c r="CG254" s="85"/>
      <c r="CH254" s="85"/>
      <c r="CI254" s="85"/>
      <c r="CJ254" s="85"/>
      <c r="CK254" s="85"/>
      <c r="CL254" s="87"/>
      <c r="CM254" s="87"/>
      <c r="CN254" s="87"/>
      <c r="CO254" s="87"/>
      <c r="CP254" s="90"/>
      <c r="CQ254" s="90"/>
      <c r="CR254" s="90"/>
      <c r="CS254" s="90"/>
      <c r="CT254" s="85"/>
      <c r="CU254" s="85"/>
      <c r="CV254" s="85"/>
      <c r="CW254" s="85"/>
      <c r="CX254" s="85"/>
      <c r="CY254" s="85"/>
      <c r="CZ254" s="85"/>
      <c r="DA254" s="33">
        <f t="shared" si="3"/>
        <v>0</v>
      </c>
    </row>
    <row r="255" spans="36:105" ht="19" x14ac:dyDescent="0.25">
      <c r="AJ255" s="63"/>
      <c r="AK255" s="20"/>
      <c r="AL255" s="21"/>
      <c r="AM255" s="22"/>
      <c r="AN255" s="23"/>
      <c r="AO255" s="24"/>
      <c r="AP255" s="25"/>
      <c r="AQ255" s="26"/>
      <c r="AR255" s="27"/>
      <c r="AS255" s="192"/>
      <c r="AT255" s="111"/>
      <c r="AU255" s="193"/>
      <c r="AV255" s="140"/>
      <c r="AW255" s="118"/>
      <c r="AX255" s="141"/>
      <c r="AY255" s="149"/>
      <c r="AZ255" s="121"/>
      <c r="BA255" s="150"/>
      <c r="BB255" s="158"/>
      <c r="BC255" s="124"/>
      <c r="BD255" s="159"/>
      <c r="BE255" s="167"/>
      <c r="BF255" s="85"/>
      <c r="BG255" s="168"/>
      <c r="BH255" s="175"/>
      <c r="BI255" s="127"/>
      <c r="BJ255" s="176"/>
      <c r="BK255" s="184"/>
      <c r="BL255" s="130"/>
      <c r="BM255" s="185"/>
      <c r="BN255" s="69"/>
      <c r="BO255" s="85"/>
      <c r="BP255" s="85"/>
      <c r="BQ255" s="85"/>
      <c r="BR255" s="85"/>
      <c r="BS255" s="85"/>
      <c r="BT255" s="85"/>
      <c r="BU255" s="87"/>
      <c r="BV255" s="87"/>
      <c r="BW255" s="87"/>
      <c r="BX255" s="87"/>
      <c r="BY255" s="87"/>
      <c r="BZ255" s="87"/>
      <c r="CA255" s="90"/>
      <c r="CB255" s="90"/>
      <c r="CC255" s="90"/>
      <c r="CD255" s="90"/>
      <c r="CE255" s="90"/>
      <c r="CF255" s="90"/>
      <c r="CG255" s="85"/>
      <c r="CH255" s="85"/>
      <c r="CI255" s="85"/>
      <c r="CJ255" s="85"/>
      <c r="CK255" s="85"/>
      <c r="CL255" s="87"/>
      <c r="CM255" s="87"/>
      <c r="CN255" s="87"/>
      <c r="CO255" s="87"/>
      <c r="CP255" s="90"/>
      <c r="CQ255" s="90"/>
      <c r="CR255" s="90"/>
      <c r="CS255" s="90"/>
      <c r="CT255" s="85"/>
      <c r="CU255" s="85"/>
      <c r="CV255" s="85"/>
      <c r="CW255" s="85"/>
      <c r="CX255" s="85"/>
      <c r="CY255" s="85"/>
      <c r="CZ255" s="85"/>
      <c r="DA255" s="33">
        <f t="shared" si="3"/>
        <v>0</v>
      </c>
    </row>
    <row r="256" spans="36:105" ht="19" x14ac:dyDescent="0.25">
      <c r="AJ256" s="63"/>
      <c r="AK256" s="20"/>
      <c r="AL256" s="21"/>
      <c r="AM256" s="22"/>
      <c r="AN256" s="23"/>
      <c r="AO256" s="24"/>
      <c r="AP256" s="25"/>
      <c r="AQ256" s="26"/>
      <c r="AR256" s="27"/>
      <c r="AS256" s="192"/>
      <c r="AT256" s="111"/>
      <c r="AU256" s="193"/>
      <c r="AV256" s="140"/>
      <c r="AW256" s="118"/>
      <c r="AX256" s="141"/>
      <c r="AY256" s="149"/>
      <c r="AZ256" s="121"/>
      <c r="BA256" s="150"/>
      <c r="BB256" s="158"/>
      <c r="BC256" s="124"/>
      <c r="BD256" s="159"/>
      <c r="BE256" s="167"/>
      <c r="BF256" s="85"/>
      <c r="BG256" s="168"/>
      <c r="BH256" s="175"/>
      <c r="BI256" s="127"/>
      <c r="BJ256" s="176"/>
      <c r="BK256" s="184"/>
      <c r="BL256" s="130"/>
      <c r="BM256" s="185"/>
      <c r="BN256" s="69"/>
      <c r="BO256" s="85"/>
      <c r="BP256" s="85"/>
      <c r="BQ256" s="85"/>
      <c r="BR256" s="85"/>
      <c r="BS256" s="85"/>
      <c r="BT256" s="85"/>
      <c r="BU256" s="87"/>
      <c r="BV256" s="87"/>
      <c r="BW256" s="87"/>
      <c r="BX256" s="87"/>
      <c r="BY256" s="87"/>
      <c r="BZ256" s="87"/>
      <c r="CA256" s="90"/>
      <c r="CB256" s="90"/>
      <c r="CC256" s="90"/>
      <c r="CD256" s="90"/>
      <c r="CE256" s="90"/>
      <c r="CF256" s="90"/>
      <c r="CG256" s="85"/>
      <c r="CH256" s="85"/>
      <c r="CI256" s="85"/>
      <c r="CJ256" s="85"/>
      <c r="CK256" s="85"/>
      <c r="CL256" s="87"/>
      <c r="CM256" s="87"/>
      <c r="CN256" s="87"/>
      <c r="CO256" s="87"/>
      <c r="CP256" s="90"/>
      <c r="CQ256" s="90"/>
      <c r="CR256" s="90"/>
      <c r="CS256" s="90"/>
      <c r="CT256" s="85"/>
      <c r="CU256" s="85"/>
      <c r="CV256" s="85"/>
      <c r="CW256" s="85"/>
      <c r="CX256" s="85"/>
      <c r="CY256" s="85"/>
      <c r="CZ256" s="85"/>
      <c r="DA256" s="33">
        <f t="shared" si="3"/>
        <v>0</v>
      </c>
    </row>
    <row r="257" spans="36:105" ht="19" x14ac:dyDescent="0.25">
      <c r="AJ257" s="63"/>
      <c r="AK257" s="20"/>
      <c r="AL257" s="21"/>
      <c r="AM257" s="22"/>
      <c r="AN257" s="23"/>
      <c r="AO257" s="24"/>
      <c r="AP257" s="25"/>
      <c r="AQ257" s="26"/>
      <c r="AR257" s="27"/>
      <c r="AS257" s="192"/>
      <c r="AT257" s="111"/>
      <c r="AU257" s="193"/>
      <c r="AV257" s="140"/>
      <c r="AW257" s="118"/>
      <c r="AX257" s="141"/>
      <c r="AY257" s="149"/>
      <c r="AZ257" s="121"/>
      <c r="BA257" s="150"/>
      <c r="BB257" s="158"/>
      <c r="BC257" s="124"/>
      <c r="BD257" s="159"/>
      <c r="BE257" s="167"/>
      <c r="BF257" s="85"/>
      <c r="BG257" s="168"/>
      <c r="BH257" s="175"/>
      <c r="BI257" s="127"/>
      <c r="BJ257" s="176"/>
      <c r="BK257" s="184"/>
      <c r="BL257" s="130"/>
      <c r="BM257" s="185"/>
      <c r="BN257" s="69"/>
      <c r="BO257" s="85"/>
      <c r="BP257" s="85"/>
      <c r="BQ257" s="85"/>
      <c r="BR257" s="85"/>
      <c r="BS257" s="85"/>
      <c r="BT257" s="85"/>
      <c r="BU257" s="87"/>
      <c r="BV257" s="87"/>
      <c r="BW257" s="87"/>
      <c r="BX257" s="87"/>
      <c r="BY257" s="87"/>
      <c r="BZ257" s="87"/>
      <c r="CA257" s="90"/>
      <c r="CB257" s="90"/>
      <c r="CC257" s="90"/>
      <c r="CD257" s="90"/>
      <c r="CE257" s="90"/>
      <c r="CF257" s="90"/>
      <c r="CG257" s="85"/>
      <c r="CH257" s="85"/>
      <c r="CI257" s="85"/>
      <c r="CJ257" s="85"/>
      <c r="CK257" s="85"/>
      <c r="CL257" s="87"/>
      <c r="CM257" s="87"/>
      <c r="CN257" s="87"/>
      <c r="CO257" s="87"/>
      <c r="CP257" s="90"/>
      <c r="CQ257" s="90"/>
      <c r="CR257" s="90"/>
      <c r="CS257" s="90"/>
      <c r="CT257" s="85"/>
      <c r="CU257" s="85"/>
      <c r="CV257" s="85"/>
      <c r="CW257" s="85"/>
      <c r="CX257" s="85"/>
      <c r="CY257" s="85"/>
      <c r="CZ257" s="85"/>
      <c r="DA257" s="33">
        <f t="shared" si="3"/>
        <v>0</v>
      </c>
    </row>
    <row r="258" spans="36:105" ht="19" x14ac:dyDescent="0.25">
      <c r="AJ258" s="63"/>
      <c r="AK258" s="20"/>
      <c r="AL258" s="21"/>
      <c r="AM258" s="22"/>
      <c r="AN258" s="23"/>
      <c r="AO258" s="24"/>
      <c r="AP258" s="25"/>
      <c r="AQ258" s="26"/>
      <c r="AR258" s="27"/>
      <c r="AS258" s="192"/>
      <c r="AT258" s="111"/>
      <c r="AU258" s="193"/>
      <c r="AV258" s="140"/>
      <c r="AW258" s="118"/>
      <c r="AX258" s="141"/>
      <c r="AY258" s="149"/>
      <c r="AZ258" s="121"/>
      <c r="BA258" s="150"/>
      <c r="BB258" s="158"/>
      <c r="BC258" s="124"/>
      <c r="BD258" s="159"/>
      <c r="BE258" s="167"/>
      <c r="BF258" s="85"/>
      <c r="BG258" s="168"/>
      <c r="BH258" s="175"/>
      <c r="BI258" s="127"/>
      <c r="BJ258" s="176"/>
      <c r="BK258" s="184"/>
      <c r="BL258" s="130"/>
      <c r="BM258" s="185"/>
      <c r="BN258" s="69"/>
      <c r="BO258" s="85"/>
      <c r="BP258" s="85"/>
      <c r="BQ258" s="85"/>
      <c r="BR258" s="85"/>
      <c r="BS258" s="85"/>
      <c r="BT258" s="85"/>
      <c r="BU258" s="87"/>
      <c r="BV258" s="87"/>
      <c r="BW258" s="87"/>
      <c r="BX258" s="87"/>
      <c r="BY258" s="87"/>
      <c r="BZ258" s="87"/>
      <c r="CA258" s="90"/>
      <c r="CB258" s="90"/>
      <c r="CC258" s="90"/>
      <c r="CD258" s="90"/>
      <c r="CE258" s="90"/>
      <c r="CF258" s="90"/>
      <c r="CG258" s="85"/>
      <c r="CH258" s="85"/>
      <c r="CI258" s="85"/>
      <c r="CJ258" s="85"/>
      <c r="CK258" s="85"/>
      <c r="CL258" s="87"/>
      <c r="CM258" s="87"/>
      <c r="CN258" s="87"/>
      <c r="CO258" s="87"/>
      <c r="CP258" s="90"/>
      <c r="CQ258" s="90"/>
      <c r="CR258" s="90"/>
      <c r="CS258" s="90"/>
      <c r="CT258" s="85"/>
      <c r="CU258" s="85"/>
      <c r="CV258" s="85"/>
      <c r="CW258" s="85"/>
      <c r="CX258" s="85"/>
      <c r="CY258" s="85"/>
      <c r="CZ258" s="85"/>
      <c r="DA258" s="33">
        <f t="shared" si="3"/>
        <v>0</v>
      </c>
    </row>
    <row r="259" spans="36:105" ht="19" x14ac:dyDescent="0.25">
      <c r="AJ259" s="63"/>
      <c r="AK259" s="20"/>
      <c r="AL259" s="21"/>
      <c r="AM259" s="22"/>
      <c r="AN259" s="23"/>
      <c r="AO259" s="24"/>
      <c r="AP259" s="25"/>
      <c r="AQ259" s="26"/>
      <c r="AR259" s="27"/>
      <c r="AS259" s="192"/>
      <c r="AT259" s="111"/>
      <c r="AU259" s="193"/>
      <c r="AV259" s="140"/>
      <c r="AW259" s="118"/>
      <c r="AX259" s="141"/>
      <c r="AY259" s="149"/>
      <c r="AZ259" s="121"/>
      <c r="BA259" s="150"/>
      <c r="BB259" s="158"/>
      <c r="BC259" s="124"/>
      <c r="BD259" s="159"/>
      <c r="BE259" s="167"/>
      <c r="BF259" s="85"/>
      <c r="BG259" s="168"/>
      <c r="BH259" s="175"/>
      <c r="BI259" s="127"/>
      <c r="BJ259" s="176"/>
      <c r="BK259" s="184"/>
      <c r="BL259" s="130"/>
      <c r="BM259" s="185"/>
      <c r="BN259" s="69"/>
      <c r="BO259" s="85"/>
      <c r="BP259" s="85"/>
      <c r="BQ259" s="85"/>
      <c r="BR259" s="85"/>
      <c r="BS259" s="85"/>
      <c r="BT259" s="85"/>
      <c r="BU259" s="87"/>
      <c r="BV259" s="87"/>
      <c r="BW259" s="87"/>
      <c r="BX259" s="87"/>
      <c r="BY259" s="87"/>
      <c r="BZ259" s="87"/>
      <c r="CA259" s="90"/>
      <c r="CB259" s="90"/>
      <c r="CC259" s="90"/>
      <c r="CD259" s="90"/>
      <c r="CE259" s="90"/>
      <c r="CF259" s="90"/>
      <c r="CG259" s="85"/>
      <c r="CH259" s="85"/>
      <c r="CI259" s="85"/>
      <c r="CJ259" s="85"/>
      <c r="CK259" s="85"/>
      <c r="CL259" s="87"/>
      <c r="CM259" s="87"/>
      <c r="CN259" s="87"/>
      <c r="CO259" s="87"/>
      <c r="CP259" s="90"/>
      <c r="CQ259" s="90"/>
      <c r="CR259" s="90"/>
      <c r="CS259" s="90"/>
      <c r="CT259" s="85"/>
      <c r="CU259" s="85"/>
      <c r="CV259" s="85"/>
      <c r="CW259" s="85"/>
      <c r="CX259" s="85"/>
      <c r="CY259" s="85"/>
      <c r="CZ259" s="85"/>
      <c r="DA259" s="33">
        <f t="shared" si="3"/>
        <v>0</v>
      </c>
    </row>
    <row r="260" spans="36:105" ht="19" x14ac:dyDescent="0.25">
      <c r="AJ260" s="63"/>
      <c r="AK260" s="20"/>
      <c r="AL260" s="21"/>
      <c r="AM260" s="22"/>
      <c r="AN260" s="23"/>
      <c r="AO260" s="24"/>
      <c r="AP260" s="25"/>
      <c r="AQ260" s="26"/>
      <c r="AR260" s="27"/>
      <c r="AS260" s="192"/>
      <c r="AT260" s="111"/>
      <c r="AU260" s="193"/>
      <c r="AV260" s="140"/>
      <c r="AW260" s="118"/>
      <c r="AX260" s="141"/>
      <c r="AY260" s="149"/>
      <c r="AZ260" s="121"/>
      <c r="BA260" s="150"/>
      <c r="BB260" s="158"/>
      <c r="BC260" s="124"/>
      <c r="BD260" s="159"/>
      <c r="BE260" s="167"/>
      <c r="BF260" s="85"/>
      <c r="BG260" s="168"/>
      <c r="BH260" s="175"/>
      <c r="BI260" s="127"/>
      <c r="BJ260" s="176"/>
      <c r="BK260" s="184"/>
      <c r="BL260" s="130"/>
      <c r="BM260" s="185"/>
      <c r="BN260" s="69"/>
      <c r="BO260" s="85"/>
      <c r="BP260" s="85"/>
      <c r="BQ260" s="85"/>
      <c r="BR260" s="85"/>
      <c r="BS260" s="85"/>
      <c r="BT260" s="85"/>
      <c r="BU260" s="87"/>
      <c r="BV260" s="87"/>
      <c r="BW260" s="87"/>
      <c r="BX260" s="87"/>
      <c r="BY260" s="87"/>
      <c r="BZ260" s="87"/>
      <c r="CA260" s="90"/>
      <c r="CB260" s="90"/>
      <c r="CC260" s="90"/>
      <c r="CD260" s="90"/>
      <c r="CE260" s="90"/>
      <c r="CF260" s="90"/>
      <c r="CG260" s="85"/>
      <c r="CH260" s="85"/>
      <c r="CI260" s="85"/>
      <c r="CJ260" s="85"/>
      <c r="CK260" s="85"/>
      <c r="CL260" s="87"/>
      <c r="CM260" s="87"/>
      <c r="CN260" s="87"/>
      <c r="CO260" s="87"/>
      <c r="CP260" s="90"/>
      <c r="CQ260" s="90"/>
      <c r="CR260" s="90"/>
      <c r="CS260" s="90"/>
      <c r="CT260" s="85"/>
      <c r="CU260" s="85"/>
      <c r="CV260" s="85"/>
      <c r="CW260" s="85"/>
      <c r="CX260" s="85"/>
      <c r="CY260" s="85"/>
      <c r="CZ260" s="85"/>
      <c r="DA260" s="33">
        <f t="shared" si="3"/>
        <v>0</v>
      </c>
    </row>
    <row r="261" spans="36:105" ht="19" x14ac:dyDescent="0.25">
      <c r="AJ261" s="63"/>
      <c r="AK261" s="20"/>
      <c r="AL261" s="21"/>
      <c r="AM261" s="22"/>
      <c r="AN261" s="23"/>
      <c r="AO261" s="24"/>
      <c r="AP261" s="25"/>
      <c r="AQ261" s="26"/>
      <c r="AR261" s="27"/>
      <c r="AS261" s="192"/>
      <c r="AT261" s="111"/>
      <c r="AU261" s="193"/>
      <c r="AV261" s="140"/>
      <c r="AW261" s="118"/>
      <c r="AX261" s="141"/>
      <c r="AY261" s="149"/>
      <c r="AZ261" s="121"/>
      <c r="BA261" s="150"/>
      <c r="BB261" s="158"/>
      <c r="BC261" s="124"/>
      <c r="BD261" s="159"/>
      <c r="BE261" s="167"/>
      <c r="BF261" s="85"/>
      <c r="BG261" s="168"/>
      <c r="BH261" s="175"/>
      <c r="BI261" s="127"/>
      <c r="BJ261" s="176"/>
      <c r="BK261" s="184"/>
      <c r="BL261" s="130"/>
      <c r="BM261" s="185"/>
      <c r="BN261" s="69"/>
      <c r="BO261" s="85"/>
      <c r="BP261" s="85"/>
      <c r="BQ261" s="85"/>
      <c r="BR261" s="85"/>
      <c r="BS261" s="85"/>
      <c r="BT261" s="85"/>
      <c r="BU261" s="87"/>
      <c r="BV261" s="87"/>
      <c r="BW261" s="87"/>
      <c r="BX261" s="87"/>
      <c r="BY261" s="87"/>
      <c r="BZ261" s="87"/>
      <c r="CA261" s="90"/>
      <c r="CB261" s="90"/>
      <c r="CC261" s="90"/>
      <c r="CD261" s="90"/>
      <c r="CE261" s="90"/>
      <c r="CF261" s="90"/>
      <c r="CG261" s="85"/>
      <c r="CH261" s="85"/>
      <c r="CI261" s="85"/>
      <c r="CJ261" s="85"/>
      <c r="CK261" s="85"/>
      <c r="CL261" s="87"/>
      <c r="CM261" s="87"/>
      <c r="CN261" s="87"/>
      <c r="CO261" s="87"/>
      <c r="CP261" s="90"/>
      <c r="CQ261" s="90"/>
      <c r="CR261" s="90"/>
      <c r="CS261" s="90"/>
      <c r="CT261" s="85"/>
      <c r="CU261" s="85"/>
      <c r="CV261" s="85"/>
      <c r="CW261" s="85"/>
      <c r="CX261" s="85"/>
      <c r="CY261" s="85"/>
      <c r="CZ261" s="85"/>
      <c r="DA261" s="33">
        <f t="shared" si="3"/>
        <v>0</v>
      </c>
    </row>
    <row r="262" spans="36:105" ht="19" x14ac:dyDescent="0.25">
      <c r="AJ262" s="63"/>
      <c r="AK262" s="20"/>
      <c r="AL262" s="21"/>
      <c r="AM262" s="22"/>
      <c r="AN262" s="23"/>
      <c r="AO262" s="24"/>
      <c r="AP262" s="25"/>
      <c r="AQ262" s="26"/>
      <c r="AR262" s="27"/>
      <c r="AS262" s="192"/>
      <c r="AT262" s="111"/>
      <c r="AU262" s="193"/>
      <c r="AV262" s="140"/>
      <c r="AW262" s="118"/>
      <c r="AX262" s="141"/>
      <c r="AY262" s="149"/>
      <c r="AZ262" s="121"/>
      <c r="BA262" s="150"/>
      <c r="BB262" s="158"/>
      <c r="BC262" s="124"/>
      <c r="BD262" s="159"/>
      <c r="BE262" s="167"/>
      <c r="BF262" s="85"/>
      <c r="BG262" s="168"/>
      <c r="BH262" s="175"/>
      <c r="BI262" s="127"/>
      <c r="BJ262" s="176"/>
      <c r="BK262" s="184"/>
      <c r="BL262" s="130"/>
      <c r="BM262" s="185"/>
      <c r="BN262" s="69"/>
      <c r="BO262" s="85"/>
      <c r="BP262" s="85"/>
      <c r="BQ262" s="85"/>
      <c r="BR262" s="85"/>
      <c r="BS262" s="85"/>
      <c r="BT262" s="85"/>
      <c r="BU262" s="87"/>
      <c r="BV262" s="87"/>
      <c r="BW262" s="87"/>
      <c r="BX262" s="87"/>
      <c r="BY262" s="87"/>
      <c r="BZ262" s="87"/>
      <c r="CA262" s="90"/>
      <c r="CB262" s="90"/>
      <c r="CC262" s="90"/>
      <c r="CD262" s="90"/>
      <c r="CE262" s="90"/>
      <c r="CF262" s="90"/>
      <c r="CG262" s="85"/>
      <c r="CH262" s="85"/>
      <c r="CI262" s="85"/>
      <c r="CJ262" s="85"/>
      <c r="CK262" s="85"/>
      <c r="CL262" s="87"/>
      <c r="CM262" s="87"/>
      <c r="CN262" s="87"/>
      <c r="CO262" s="87"/>
      <c r="CP262" s="90"/>
      <c r="CQ262" s="90"/>
      <c r="CR262" s="90"/>
      <c r="CS262" s="90"/>
      <c r="CT262" s="85"/>
      <c r="CU262" s="85"/>
      <c r="CV262" s="85"/>
      <c r="CW262" s="85"/>
      <c r="CX262" s="85"/>
      <c r="CY262" s="85"/>
      <c r="CZ262" s="85"/>
      <c r="DA262" s="33">
        <f t="shared" si="3"/>
        <v>0</v>
      </c>
    </row>
    <row r="263" spans="36:105" ht="19" x14ac:dyDescent="0.25">
      <c r="AJ263" s="63"/>
      <c r="AK263" s="20"/>
      <c r="AL263" s="21"/>
      <c r="AM263" s="22"/>
      <c r="AN263" s="23"/>
      <c r="AO263" s="24"/>
      <c r="AP263" s="25"/>
      <c r="AQ263" s="26"/>
      <c r="AR263" s="27"/>
      <c r="AS263" s="192"/>
      <c r="AT263" s="111"/>
      <c r="AU263" s="193"/>
      <c r="AV263" s="140"/>
      <c r="AW263" s="118"/>
      <c r="AX263" s="141"/>
      <c r="AY263" s="149"/>
      <c r="AZ263" s="121"/>
      <c r="BA263" s="150"/>
      <c r="BB263" s="158"/>
      <c r="BC263" s="124"/>
      <c r="BD263" s="159"/>
      <c r="BE263" s="167"/>
      <c r="BF263" s="85"/>
      <c r="BG263" s="168"/>
      <c r="BH263" s="175"/>
      <c r="BI263" s="127"/>
      <c r="BJ263" s="176"/>
      <c r="BK263" s="184"/>
      <c r="BL263" s="130"/>
      <c r="BM263" s="185"/>
      <c r="BN263" s="69"/>
      <c r="BO263" s="85"/>
      <c r="BP263" s="85"/>
      <c r="BQ263" s="85"/>
      <c r="BR263" s="85"/>
      <c r="BS263" s="85"/>
      <c r="BT263" s="85"/>
      <c r="BU263" s="87"/>
      <c r="BV263" s="87"/>
      <c r="BW263" s="87"/>
      <c r="BX263" s="87"/>
      <c r="BY263" s="87"/>
      <c r="BZ263" s="87"/>
      <c r="CA263" s="90"/>
      <c r="CB263" s="90"/>
      <c r="CC263" s="90"/>
      <c r="CD263" s="90"/>
      <c r="CE263" s="90"/>
      <c r="CF263" s="90"/>
      <c r="CG263" s="85"/>
      <c r="CH263" s="85"/>
      <c r="CI263" s="85"/>
      <c r="CJ263" s="85"/>
      <c r="CK263" s="85"/>
      <c r="CL263" s="87"/>
      <c r="CM263" s="87"/>
      <c r="CN263" s="87"/>
      <c r="CO263" s="87"/>
      <c r="CP263" s="90"/>
      <c r="CQ263" s="90"/>
      <c r="CR263" s="90"/>
      <c r="CS263" s="90"/>
      <c r="CT263" s="85"/>
      <c r="CU263" s="85"/>
      <c r="CV263" s="85"/>
      <c r="CW263" s="85"/>
      <c r="CX263" s="85"/>
      <c r="CY263" s="85"/>
      <c r="CZ263" s="85"/>
      <c r="DA263" s="33">
        <f t="shared" si="3"/>
        <v>0</v>
      </c>
    </row>
    <row r="264" spans="36:105" ht="19" x14ac:dyDescent="0.25">
      <c r="AJ264" s="63"/>
      <c r="AK264" s="20"/>
      <c r="AL264" s="21"/>
      <c r="AM264" s="22"/>
      <c r="AN264" s="23"/>
      <c r="AO264" s="24"/>
      <c r="AP264" s="25"/>
      <c r="AQ264" s="26"/>
      <c r="AR264" s="27"/>
      <c r="AS264" s="192"/>
      <c r="AT264" s="111"/>
      <c r="AU264" s="193"/>
      <c r="AV264" s="140"/>
      <c r="AW264" s="118"/>
      <c r="AX264" s="141"/>
      <c r="AY264" s="149"/>
      <c r="AZ264" s="121"/>
      <c r="BA264" s="150"/>
      <c r="BB264" s="158"/>
      <c r="BC264" s="124"/>
      <c r="BD264" s="159"/>
      <c r="BE264" s="167"/>
      <c r="BF264" s="85"/>
      <c r="BG264" s="168"/>
      <c r="BH264" s="175"/>
      <c r="BI264" s="127"/>
      <c r="BJ264" s="176"/>
      <c r="BK264" s="184"/>
      <c r="BL264" s="130"/>
      <c r="BM264" s="185"/>
      <c r="BN264" s="69"/>
      <c r="BO264" s="85"/>
      <c r="BP264" s="85"/>
      <c r="BQ264" s="85"/>
      <c r="BR264" s="85"/>
      <c r="BS264" s="85"/>
      <c r="BT264" s="85"/>
      <c r="BU264" s="87"/>
      <c r="BV264" s="87"/>
      <c r="BW264" s="87"/>
      <c r="BX264" s="87"/>
      <c r="BY264" s="87"/>
      <c r="BZ264" s="87"/>
      <c r="CA264" s="90"/>
      <c r="CB264" s="90"/>
      <c r="CC264" s="90"/>
      <c r="CD264" s="90"/>
      <c r="CE264" s="90"/>
      <c r="CF264" s="90"/>
      <c r="CG264" s="85"/>
      <c r="CH264" s="85"/>
      <c r="CI264" s="85"/>
      <c r="CJ264" s="85"/>
      <c r="CK264" s="85"/>
      <c r="CL264" s="87"/>
      <c r="CM264" s="87"/>
      <c r="CN264" s="87"/>
      <c r="CO264" s="87"/>
      <c r="CP264" s="90"/>
      <c r="CQ264" s="90"/>
      <c r="CR264" s="90"/>
      <c r="CS264" s="90"/>
      <c r="CT264" s="85"/>
      <c r="CU264" s="85"/>
      <c r="CV264" s="85"/>
      <c r="CW264" s="85"/>
      <c r="CX264" s="85"/>
      <c r="CY264" s="85"/>
      <c r="CZ264" s="85"/>
      <c r="DA264" s="33">
        <f t="shared" si="3"/>
        <v>0</v>
      </c>
    </row>
    <row r="265" spans="36:105" ht="19" x14ac:dyDescent="0.25">
      <c r="AJ265" s="63"/>
      <c r="AK265" s="20"/>
      <c r="AL265" s="21"/>
      <c r="AM265" s="22"/>
      <c r="AN265" s="23"/>
      <c r="AO265" s="24"/>
      <c r="AP265" s="25"/>
      <c r="AQ265" s="26"/>
      <c r="AR265" s="27"/>
      <c r="AS265" s="192"/>
      <c r="AT265" s="111"/>
      <c r="AU265" s="193"/>
      <c r="AV265" s="140"/>
      <c r="AW265" s="118"/>
      <c r="AX265" s="141"/>
      <c r="AY265" s="149"/>
      <c r="AZ265" s="121"/>
      <c r="BA265" s="150"/>
      <c r="BB265" s="158"/>
      <c r="BC265" s="124"/>
      <c r="BD265" s="159"/>
      <c r="BE265" s="167"/>
      <c r="BF265" s="85"/>
      <c r="BG265" s="168"/>
      <c r="BH265" s="175"/>
      <c r="BI265" s="127"/>
      <c r="BJ265" s="176"/>
      <c r="BK265" s="184"/>
      <c r="BL265" s="130"/>
      <c r="BM265" s="185"/>
      <c r="BN265" s="69"/>
      <c r="BO265" s="85"/>
      <c r="BP265" s="85"/>
      <c r="BQ265" s="85"/>
      <c r="BR265" s="85"/>
      <c r="BS265" s="85"/>
      <c r="BT265" s="85"/>
      <c r="BU265" s="87"/>
      <c r="BV265" s="87"/>
      <c r="BW265" s="87"/>
      <c r="BX265" s="87"/>
      <c r="BY265" s="87"/>
      <c r="BZ265" s="87"/>
      <c r="CA265" s="90"/>
      <c r="CB265" s="90"/>
      <c r="CC265" s="90"/>
      <c r="CD265" s="90"/>
      <c r="CE265" s="90"/>
      <c r="CF265" s="90"/>
      <c r="CG265" s="85"/>
      <c r="CH265" s="85"/>
      <c r="CI265" s="85"/>
      <c r="CJ265" s="85"/>
      <c r="CK265" s="85"/>
      <c r="CL265" s="87"/>
      <c r="CM265" s="87"/>
      <c r="CN265" s="87"/>
      <c r="CO265" s="87"/>
      <c r="CP265" s="90"/>
      <c r="CQ265" s="90"/>
      <c r="CR265" s="90"/>
      <c r="CS265" s="90"/>
      <c r="CT265" s="85"/>
      <c r="CU265" s="85"/>
      <c r="CV265" s="85"/>
      <c r="CW265" s="85"/>
      <c r="CX265" s="85"/>
      <c r="CY265" s="85"/>
      <c r="CZ265" s="85"/>
      <c r="DA265" s="33">
        <f t="shared" si="3"/>
        <v>0</v>
      </c>
    </row>
    <row r="266" spans="36:105" ht="19" x14ac:dyDescent="0.25">
      <c r="AJ266" s="63"/>
      <c r="AK266" s="20"/>
      <c r="AL266" s="21"/>
      <c r="AM266" s="22"/>
      <c r="AN266" s="23"/>
      <c r="AO266" s="24"/>
      <c r="AP266" s="25"/>
      <c r="AQ266" s="26"/>
      <c r="AR266" s="27"/>
      <c r="AS266" s="192"/>
      <c r="AT266" s="111"/>
      <c r="AU266" s="193"/>
      <c r="AV266" s="140"/>
      <c r="AW266" s="118"/>
      <c r="AX266" s="141"/>
      <c r="AY266" s="149"/>
      <c r="AZ266" s="121"/>
      <c r="BA266" s="150"/>
      <c r="BB266" s="158"/>
      <c r="BC266" s="124"/>
      <c r="BD266" s="159"/>
      <c r="BE266" s="167"/>
      <c r="BF266" s="85"/>
      <c r="BG266" s="168"/>
      <c r="BH266" s="175"/>
      <c r="BI266" s="127"/>
      <c r="BJ266" s="176"/>
      <c r="BK266" s="184"/>
      <c r="BL266" s="130"/>
      <c r="BM266" s="185"/>
      <c r="BN266" s="69"/>
      <c r="BO266" s="85"/>
      <c r="BP266" s="85"/>
      <c r="BQ266" s="85"/>
      <c r="BR266" s="85"/>
      <c r="BS266" s="85"/>
      <c r="BT266" s="85"/>
      <c r="BU266" s="87"/>
      <c r="BV266" s="87"/>
      <c r="BW266" s="87"/>
      <c r="BX266" s="87"/>
      <c r="BY266" s="87"/>
      <c r="BZ266" s="87"/>
      <c r="CA266" s="90"/>
      <c r="CB266" s="90"/>
      <c r="CC266" s="90"/>
      <c r="CD266" s="90"/>
      <c r="CE266" s="90"/>
      <c r="CF266" s="90"/>
      <c r="CG266" s="85"/>
      <c r="CH266" s="85"/>
      <c r="CI266" s="85"/>
      <c r="CJ266" s="85"/>
      <c r="CK266" s="85"/>
      <c r="CL266" s="87"/>
      <c r="CM266" s="87"/>
      <c r="CN266" s="87"/>
      <c r="CO266" s="87"/>
      <c r="CP266" s="90"/>
      <c r="CQ266" s="90"/>
      <c r="CR266" s="90"/>
      <c r="CS266" s="90"/>
      <c r="CT266" s="85"/>
      <c r="CU266" s="85"/>
      <c r="CV266" s="85"/>
      <c r="CW266" s="85"/>
      <c r="CX266" s="85"/>
      <c r="CY266" s="85"/>
      <c r="CZ266" s="85"/>
      <c r="DA266" s="33">
        <f t="shared" si="3"/>
        <v>0</v>
      </c>
    </row>
    <row r="267" spans="36:105" ht="19" x14ac:dyDescent="0.25">
      <c r="AJ267" s="63"/>
      <c r="AK267" s="20"/>
      <c r="AL267" s="21"/>
      <c r="AM267" s="22"/>
      <c r="AN267" s="23"/>
      <c r="AO267" s="24"/>
      <c r="AP267" s="25"/>
      <c r="AQ267" s="26"/>
      <c r="AR267" s="27"/>
      <c r="AS267" s="192"/>
      <c r="AT267" s="111"/>
      <c r="AU267" s="193"/>
      <c r="AV267" s="140"/>
      <c r="AW267" s="118"/>
      <c r="AX267" s="141"/>
      <c r="AY267" s="149"/>
      <c r="AZ267" s="121"/>
      <c r="BA267" s="150"/>
      <c r="BB267" s="158"/>
      <c r="BC267" s="124"/>
      <c r="BD267" s="159"/>
      <c r="BE267" s="167"/>
      <c r="BF267" s="85"/>
      <c r="BG267" s="168"/>
      <c r="BH267" s="175"/>
      <c r="BI267" s="127"/>
      <c r="BJ267" s="176"/>
      <c r="BK267" s="184"/>
      <c r="BL267" s="130"/>
      <c r="BM267" s="185"/>
      <c r="BN267" s="69"/>
      <c r="BO267" s="85"/>
      <c r="BP267" s="85"/>
      <c r="BQ267" s="85"/>
      <c r="BR267" s="85"/>
      <c r="BS267" s="85"/>
      <c r="BT267" s="85"/>
      <c r="BU267" s="87"/>
      <c r="BV267" s="87"/>
      <c r="BW267" s="87"/>
      <c r="BX267" s="87"/>
      <c r="BY267" s="87"/>
      <c r="BZ267" s="87"/>
      <c r="CA267" s="90"/>
      <c r="CB267" s="90"/>
      <c r="CC267" s="90"/>
      <c r="CD267" s="90"/>
      <c r="CE267" s="90"/>
      <c r="CF267" s="90"/>
      <c r="CG267" s="85"/>
      <c r="CH267" s="85"/>
      <c r="CI267" s="85"/>
      <c r="CJ267" s="85"/>
      <c r="CK267" s="85"/>
      <c r="CL267" s="87"/>
      <c r="CM267" s="87"/>
      <c r="CN267" s="87"/>
      <c r="CO267" s="87"/>
      <c r="CP267" s="90"/>
      <c r="CQ267" s="90"/>
      <c r="CR267" s="90"/>
      <c r="CS267" s="90"/>
      <c r="CT267" s="85"/>
      <c r="CU267" s="85"/>
      <c r="CV267" s="85"/>
      <c r="CW267" s="85"/>
      <c r="CX267" s="85"/>
      <c r="CY267" s="85"/>
      <c r="CZ267" s="85"/>
      <c r="DA267" s="33">
        <f t="shared" si="3"/>
        <v>0</v>
      </c>
    </row>
    <row r="268" spans="36:105" ht="19" x14ac:dyDescent="0.25">
      <c r="AJ268" s="63"/>
      <c r="AK268" s="20"/>
      <c r="AL268" s="21"/>
      <c r="AM268" s="22"/>
      <c r="AN268" s="23"/>
      <c r="AO268" s="24"/>
      <c r="AP268" s="25"/>
      <c r="AQ268" s="26"/>
      <c r="AR268" s="27"/>
      <c r="AS268" s="192"/>
      <c r="AT268" s="111"/>
      <c r="AU268" s="193"/>
      <c r="AV268" s="140"/>
      <c r="AW268" s="118"/>
      <c r="AX268" s="141"/>
      <c r="AY268" s="149"/>
      <c r="AZ268" s="121"/>
      <c r="BA268" s="150"/>
      <c r="BB268" s="158"/>
      <c r="BC268" s="124"/>
      <c r="BD268" s="159"/>
      <c r="BE268" s="167"/>
      <c r="BF268" s="85"/>
      <c r="BG268" s="168"/>
      <c r="BH268" s="175"/>
      <c r="BI268" s="127"/>
      <c r="BJ268" s="176"/>
      <c r="BK268" s="184"/>
      <c r="BL268" s="130"/>
      <c r="BM268" s="185"/>
      <c r="BN268" s="69"/>
      <c r="BO268" s="85"/>
      <c r="BP268" s="85"/>
      <c r="BQ268" s="85"/>
      <c r="BR268" s="85"/>
      <c r="BS268" s="85"/>
      <c r="BT268" s="85"/>
      <c r="BU268" s="87"/>
      <c r="BV268" s="87"/>
      <c r="BW268" s="87"/>
      <c r="BX268" s="87"/>
      <c r="BY268" s="87"/>
      <c r="BZ268" s="87"/>
      <c r="CA268" s="90"/>
      <c r="CB268" s="90"/>
      <c r="CC268" s="90"/>
      <c r="CD268" s="90"/>
      <c r="CE268" s="90"/>
      <c r="CF268" s="90"/>
      <c r="CG268" s="85"/>
      <c r="CH268" s="85"/>
      <c r="CI268" s="85"/>
      <c r="CJ268" s="85"/>
      <c r="CK268" s="85"/>
      <c r="CL268" s="87"/>
      <c r="CM268" s="87"/>
      <c r="CN268" s="87"/>
      <c r="CO268" s="87"/>
      <c r="CP268" s="90"/>
      <c r="CQ268" s="90"/>
      <c r="CR268" s="90"/>
      <c r="CS268" s="90"/>
      <c r="CT268" s="85"/>
      <c r="CU268" s="85"/>
      <c r="CV268" s="85"/>
      <c r="CW268" s="85"/>
      <c r="CX268" s="85"/>
      <c r="CY268" s="85"/>
      <c r="CZ268" s="85"/>
      <c r="DA268" s="33">
        <f t="shared" si="3"/>
        <v>0</v>
      </c>
    </row>
    <row r="269" spans="36:105" ht="19" x14ac:dyDescent="0.25">
      <c r="AJ269" s="63"/>
      <c r="AK269" s="20"/>
      <c r="AL269" s="21"/>
      <c r="AM269" s="22"/>
      <c r="AN269" s="23"/>
      <c r="AO269" s="24"/>
      <c r="AP269" s="25"/>
      <c r="AQ269" s="26"/>
      <c r="AR269" s="27"/>
      <c r="AS269" s="192"/>
      <c r="AT269" s="111"/>
      <c r="AU269" s="193"/>
      <c r="AV269" s="140"/>
      <c r="AW269" s="118"/>
      <c r="AX269" s="141"/>
      <c r="AY269" s="149"/>
      <c r="AZ269" s="121"/>
      <c r="BA269" s="150"/>
      <c r="BB269" s="158"/>
      <c r="BC269" s="124"/>
      <c r="BD269" s="159"/>
      <c r="BE269" s="167"/>
      <c r="BF269" s="85"/>
      <c r="BG269" s="168"/>
      <c r="BH269" s="175"/>
      <c r="BI269" s="127"/>
      <c r="BJ269" s="176"/>
      <c r="BK269" s="184"/>
      <c r="BL269" s="130"/>
      <c r="BM269" s="185"/>
      <c r="BN269" s="69"/>
      <c r="BO269" s="85"/>
      <c r="BP269" s="85"/>
      <c r="BQ269" s="85"/>
      <c r="BR269" s="85"/>
      <c r="BS269" s="85"/>
      <c r="BT269" s="85"/>
      <c r="BU269" s="87"/>
      <c r="BV269" s="87"/>
      <c r="BW269" s="87"/>
      <c r="BX269" s="87"/>
      <c r="BY269" s="87"/>
      <c r="BZ269" s="87"/>
      <c r="CA269" s="90"/>
      <c r="CB269" s="90"/>
      <c r="CC269" s="90"/>
      <c r="CD269" s="90"/>
      <c r="CE269" s="90"/>
      <c r="CF269" s="90"/>
      <c r="CG269" s="85"/>
      <c r="CH269" s="85"/>
      <c r="CI269" s="85"/>
      <c r="CJ269" s="85"/>
      <c r="CK269" s="85"/>
      <c r="CL269" s="87"/>
      <c r="CM269" s="87"/>
      <c r="CN269" s="87"/>
      <c r="CO269" s="87"/>
      <c r="CP269" s="90"/>
      <c r="CQ269" s="90"/>
      <c r="CR269" s="90"/>
      <c r="CS269" s="90"/>
      <c r="CT269" s="85"/>
      <c r="CU269" s="85"/>
      <c r="CV269" s="85"/>
      <c r="CW269" s="85"/>
      <c r="CX269" s="85"/>
      <c r="CY269" s="85"/>
      <c r="CZ269" s="85"/>
      <c r="DA269" s="33">
        <f t="shared" si="3"/>
        <v>0</v>
      </c>
    </row>
    <row r="270" spans="36:105" ht="19" x14ac:dyDescent="0.25">
      <c r="AJ270" s="63"/>
      <c r="AK270" s="20"/>
      <c r="AL270" s="21"/>
      <c r="AM270" s="22"/>
      <c r="AN270" s="23"/>
      <c r="AO270" s="24"/>
      <c r="AP270" s="25"/>
      <c r="AQ270" s="26"/>
      <c r="AR270" s="27"/>
      <c r="AS270" s="192"/>
      <c r="AT270" s="111"/>
      <c r="AU270" s="193"/>
      <c r="AV270" s="140"/>
      <c r="AW270" s="118"/>
      <c r="AX270" s="141"/>
      <c r="AY270" s="149"/>
      <c r="AZ270" s="121"/>
      <c r="BA270" s="150"/>
      <c r="BB270" s="158"/>
      <c r="BC270" s="124"/>
      <c r="BD270" s="159"/>
      <c r="BE270" s="167"/>
      <c r="BF270" s="85"/>
      <c r="BG270" s="168"/>
      <c r="BH270" s="175"/>
      <c r="BI270" s="127"/>
      <c r="BJ270" s="176"/>
      <c r="BK270" s="184"/>
      <c r="BL270" s="130"/>
      <c r="BM270" s="185"/>
      <c r="BN270" s="69"/>
      <c r="BO270" s="85"/>
      <c r="BP270" s="85"/>
      <c r="BQ270" s="85"/>
      <c r="BR270" s="85"/>
      <c r="BS270" s="85"/>
      <c r="BT270" s="85"/>
      <c r="BU270" s="87"/>
      <c r="BV270" s="87"/>
      <c r="BW270" s="87"/>
      <c r="BX270" s="87"/>
      <c r="BY270" s="87"/>
      <c r="BZ270" s="87"/>
      <c r="CA270" s="90"/>
      <c r="CB270" s="90"/>
      <c r="CC270" s="90"/>
      <c r="CD270" s="90"/>
      <c r="CE270" s="90"/>
      <c r="CF270" s="90"/>
      <c r="CG270" s="85"/>
      <c r="CH270" s="85"/>
      <c r="CI270" s="85"/>
      <c r="CJ270" s="85"/>
      <c r="CK270" s="85"/>
      <c r="CL270" s="87"/>
      <c r="CM270" s="87"/>
      <c r="CN270" s="87"/>
      <c r="CO270" s="87"/>
      <c r="CP270" s="90"/>
      <c r="CQ270" s="90"/>
      <c r="CR270" s="90"/>
      <c r="CS270" s="90"/>
      <c r="CT270" s="85"/>
      <c r="CU270" s="85"/>
      <c r="CV270" s="85"/>
      <c r="CW270" s="85"/>
      <c r="CX270" s="85"/>
      <c r="CY270" s="85"/>
      <c r="CZ270" s="85"/>
      <c r="DA270" s="33">
        <f t="shared" si="3"/>
        <v>0</v>
      </c>
    </row>
    <row r="271" spans="36:105" ht="19" x14ac:dyDescent="0.25">
      <c r="AJ271" s="63"/>
      <c r="AK271" s="20"/>
      <c r="AL271" s="21"/>
      <c r="AM271" s="22"/>
      <c r="AN271" s="23"/>
      <c r="AO271" s="24"/>
      <c r="AP271" s="25"/>
      <c r="AQ271" s="26"/>
      <c r="AR271" s="27"/>
      <c r="AS271" s="192"/>
      <c r="AT271" s="111"/>
      <c r="AU271" s="193"/>
      <c r="AV271" s="140"/>
      <c r="AW271" s="118"/>
      <c r="AX271" s="141"/>
      <c r="AY271" s="149"/>
      <c r="AZ271" s="121"/>
      <c r="BA271" s="150"/>
      <c r="BB271" s="158"/>
      <c r="BC271" s="124"/>
      <c r="BD271" s="159"/>
      <c r="BE271" s="167"/>
      <c r="BF271" s="85"/>
      <c r="BG271" s="168"/>
      <c r="BH271" s="175"/>
      <c r="BI271" s="127"/>
      <c r="BJ271" s="176"/>
      <c r="BK271" s="184"/>
      <c r="BL271" s="130"/>
      <c r="BM271" s="185"/>
      <c r="BN271" s="69"/>
      <c r="BO271" s="85"/>
      <c r="BP271" s="85"/>
      <c r="BQ271" s="85"/>
      <c r="BR271" s="85"/>
      <c r="BS271" s="85"/>
      <c r="BT271" s="85"/>
      <c r="BU271" s="87"/>
      <c r="BV271" s="87"/>
      <c r="BW271" s="87"/>
      <c r="BX271" s="87"/>
      <c r="BY271" s="87"/>
      <c r="BZ271" s="87"/>
      <c r="CA271" s="90"/>
      <c r="CB271" s="90"/>
      <c r="CC271" s="90"/>
      <c r="CD271" s="90"/>
      <c r="CE271" s="90"/>
      <c r="CF271" s="90"/>
      <c r="CG271" s="85"/>
      <c r="CH271" s="85"/>
      <c r="CI271" s="85"/>
      <c r="CJ271" s="85"/>
      <c r="CK271" s="85"/>
      <c r="CL271" s="87"/>
      <c r="CM271" s="87"/>
      <c r="CN271" s="87"/>
      <c r="CO271" s="87"/>
      <c r="CP271" s="90"/>
      <c r="CQ271" s="90"/>
      <c r="CR271" s="90"/>
      <c r="CS271" s="90"/>
      <c r="CT271" s="85"/>
      <c r="CU271" s="85"/>
      <c r="CV271" s="85"/>
      <c r="CW271" s="85"/>
      <c r="CX271" s="85"/>
      <c r="CY271" s="85"/>
      <c r="CZ271" s="85"/>
      <c r="DA271" s="33">
        <f t="shared" si="3"/>
        <v>0</v>
      </c>
    </row>
    <row r="272" spans="36:105" ht="19" x14ac:dyDescent="0.25">
      <c r="AJ272" s="63"/>
      <c r="AK272" s="20"/>
      <c r="AL272" s="21"/>
      <c r="AM272" s="22"/>
      <c r="AN272" s="23"/>
      <c r="AO272" s="24"/>
      <c r="AP272" s="25"/>
      <c r="AQ272" s="26"/>
      <c r="AR272" s="27"/>
      <c r="AS272" s="192"/>
      <c r="AT272" s="111"/>
      <c r="AU272" s="193"/>
      <c r="AV272" s="140"/>
      <c r="AW272" s="118"/>
      <c r="AX272" s="141"/>
      <c r="AY272" s="149"/>
      <c r="AZ272" s="121"/>
      <c r="BA272" s="150"/>
      <c r="BB272" s="158"/>
      <c r="BC272" s="124"/>
      <c r="BD272" s="159"/>
      <c r="BE272" s="167"/>
      <c r="BF272" s="85"/>
      <c r="BG272" s="168"/>
      <c r="BH272" s="175"/>
      <c r="BI272" s="127"/>
      <c r="BJ272" s="176"/>
      <c r="BK272" s="184"/>
      <c r="BL272" s="130"/>
      <c r="BM272" s="185"/>
      <c r="BN272" s="69"/>
      <c r="BO272" s="85"/>
      <c r="BP272" s="85"/>
      <c r="BQ272" s="85"/>
      <c r="BR272" s="85"/>
      <c r="BS272" s="85"/>
      <c r="BT272" s="85"/>
      <c r="BU272" s="87"/>
      <c r="BV272" s="87"/>
      <c r="BW272" s="87"/>
      <c r="BX272" s="87"/>
      <c r="BY272" s="87"/>
      <c r="BZ272" s="87"/>
      <c r="CA272" s="90"/>
      <c r="CB272" s="90"/>
      <c r="CC272" s="90"/>
      <c r="CD272" s="90"/>
      <c r="CE272" s="90"/>
      <c r="CF272" s="90"/>
      <c r="CG272" s="85"/>
      <c r="CH272" s="85"/>
      <c r="CI272" s="85"/>
      <c r="CJ272" s="85"/>
      <c r="CK272" s="85"/>
      <c r="CL272" s="87"/>
      <c r="CM272" s="87"/>
      <c r="CN272" s="87"/>
      <c r="CO272" s="87"/>
      <c r="CP272" s="90"/>
      <c r="CQ272" s="90"/>
      <c r="CR272" s="90"/>
      <c r="CS272" s="90"/>
      <c r="CT272" s="85"/>
      <c r="CU272" s="85"/>
      <c r="CV272" s="85"/>
      <c r="CW272" s="85"/>
      <c r="CX272" s="85"/>
      <c r="CY272" s="85"/>
      <c r="CZ272" s="85"/>
      <c r="DA272" s="33">
        <f t="shared" si="3"/>
        <v>0</v>
      </c>
    </row>
    <row r="273" spans="36:105" ht="19" x14ac:dyDescent="0.25">
      <c r="AJ273" s="63"/>
      <c r="AK273" s="20"/>
      <c r="AL273" s="21"/>
      <c r="AM273" s="22"/>
      <c r="AN273" s="23"/>
      <c r="AO273" s="24"/>
      <c r="AP273" s="25"/>
      <c r="AQ273" s="26"/>
      <c r="AR273" s="27"/>
      <c r="AS273" s="192"/>
      <c r="AT273" s="111"/>
      <c r="AU273" s="193"/>
      <c r="AV273" s="140"/>
      <c r="AW273" s="118"/>
      <c r="AX273" s="141"/>
      <c r="AY273" s="149"/>
      <c r="AZ273" s="121"/>
      <c r="BA273" s="150"/>
      <c r="BB273" s="158"/>
      <c r="BC273" s="124"/>
      <c r="BD273" s="159"/>
      <c r="BE273" s="167"/>
      <c r="BF273" s="85"/>
      <c r="BG273" s="168"/>
      <c r="BH273" s="175"/>
      <c r="BI273" s="127"/>
      <c r="BJ273" s="176"/>
      <c r="BK273" s="184"/>
      <c r="BL273" s="130"/>
      <c r="BM273" s="185"/>
      <c r="BN273" s="69"/>
      <c r="BO273" s="85"/>
      <c r="BP273" s="85"/>
      <c r="BQ273" s="85"/>
      <c r="BR273" s="85"/>
      <c r="BS273" s="85"/>
      <c r="BT273" s="85"/>
      <c r="BU273" s="87"/>
      <c r="BV273" s="87"/>
      <c r="BW273" s="87"/>
      <c r="BX273" s="87"/>
      <c r="BY273" s="87"/>
      <c r="BZ273" s="87"/>
      <c r="CA273" s="90"/>
      <c r="CB273" s="90"/>
      <c r="CC273" s="90"/>
      <c r="CD273" s="90"/>
      <c r="CE273" s="90"/>
      <c r="CF273" s="90"/>
      <c r="CG273" s="85"/>
      <c r="CH273" s="85"/>
      <c r="CI273" s="85"/>
      <c r="CJ273" s="85"/>
      <c r="CK273" s="85"/>
      <c r="CL273" s="87"/>
      <c r="CM273" s="87"/>
      <c r="CN273" s="87"/>
      <c r="CO273" s="87"/>
      <c r="CP273" s="90"/>
      <c r="CQ273" s="90"/>
      <c r="CR273" s="90"/>
      <c r="CS273" s="90"/>
      <c r="CT273" s="85"/>
      <c r="CU273" s="85"/>
      <c r="CV273" s="85"/>
      <c r="CW273" s="85"/>
      <c r="CX273" s="85"/>
      <c r="CY273" s="85"/>
      <c r="CZ273" s="85"/>
      <c r="DA273" s="33">
        <f t="shared" si="3"/>
        <v>0</v>
      </c>
    </row>
    <row r="274" spans="36:105" ht="19" x14ac:dyDescent="0.25">
      <c r="AJ274" s="63"/>
      <c r="AK274" s="20"/>
      <c r="AL274" s="21"/>
      <c r="AM274" s="22"/>
      <c r="AN274" s="23"/>
      <c r="AO274" s="24"/>
      <c r="AP274" s="25"/>
      <c r="AQ274" s="26"/>
      <c r="AR274" s="27"/>
      <c r="AS274" s="192"/>
      <c r="AT274" s="111"/>
      <c r="AU274" s="193"/>
      <c r="AV274" s="140"/>
      <c r="AW274" s="118"/>
      <c r="AX274" s="141"/>
      <c r="AY274" s="149"/>
      <c r="AZ274" s="121"/>
      <c r="BA274" s="150"/>
      <c r="BB274" s="158"/>
      <c r="BC274" s="124"/>
      <c r="BD274" s="159"/>
      <c r="BE274" s="167"/>
      <c r="BF274" s="85"/>
      <c r="BG274" s="168"/>
      <c r="BH274" s="175"/>
      <c r="BI274" s="127"/>
      <c r="BJ274" s="176"/>
      <c r="BK274" s="184"/>
      <c r="BL274" s="130"/>
      <c r="BM274" s="185"/>
      <c r="BN274" s="69"/>
      <c r="BO274" s="85"/>
      <c r="BP274" s="85"/>
      <c r="BQ274" s="85"/>
      <c r="BR274" s="85"/>
      <c r="BS274" s="85"/>
      <c r="BT274" s="85"/>
      <c r="BU274" s="87"/>
      <c r="BV274" s="87"/>
      <c r="BW274" s="87"/>
      <c r="BX274" s="87"/>
      <c r="BY274" s="87"/>
      <c r="BZ274" s="87"/>
      <c r="CA274" s="90"/>
      <c r="CB274" s="90"/>
      <c r="CC274" s="90"/>
      <c r="CD274" s="90"/>
      <c r="CE274" s="90"/>
      <c r="CF274" s="90"/>
      <c r="CG274" s="85"/>
      <c r="CH274" s="85"/>
      <c r="CI274" s="85"/>
      <c r="CJ274" s="85"/>
      <c r="CK274" s="85"/>
      <c r="CL274" s="87"/>
      <c r="CM274" s="87"/>
      <c r="CN274" s="87"/>
      <c r="CO274" s="87"/>
      <c r="CP274" s="90"/>
      <c r="CQ274" s="90"/>
      <c r="CR274" s="90"/>
      <c r="CS274" s="90"/>
      <c r="CT274" s="85"/>
      <c r="CU274" s="85"/>
      <c r="CV274" s="85"/>
      <c r="CW274" s="85"/>
      <c r="CX274" s="85"/>
      <c r="CY274" s="85"/>
      <c r="CZ274" s="85"/>
      <c r="DA274" s="33">
        <f t="shared" si="3"/>
        <v>0</v>
      </c>
    </row>
    <row r="275" spans="36:105" ht="19" x14ac:dyDescent="0.25">
      <c r="AJ275" s="63"/>
      <c r="AK275" s="20"/>
      <c r="AL275" s="21"/>
      <c r="AM275" s="22"/>
      <c r="AN275" s="23"/>
      <c r="AO275" s="24"/>
      <c r="AP275" s="25"/>
      <c r="AQ275" s="26"/>
      <c r="AR275" s="27"/>
      <c r="AS275" s="192"/>
      <c r="AT275" s="111"/>
      <c r="AU275" s="193"/>
      <c r="AV275" s="140"/>
      <c r="AW275" s="118"/>
      <c r="AX275" s="141"/>
      <c r="AY275" s="149"/>
      <c r="AZ275" s="121"/>
      <c r="BA275" s="150"/>
      <c r="BB275" s="158"/>
      <c r="BC275" s="124"/>
      <c r="BD275" s="159"/>
      <c r="BE275" s="167"/>
      <c r="BF275" s="85"/>
      <c r="BG275" s="168"/>
      <c r="BH275" s="175"/>
      <c r="BI275" s="127"/>
      <c r="BJ275" s="176"/>
      <c r="BK275" s="184"/>
      <c r="BL275" s="130"/>
      <c r="BM275" s="185"/>
      <c r="BN275" s="69"/>
      <c r="BO275" s="85"/>
      <c r="BP275" s="85"/>
      <c r="BQ275" s="85"/>
      <c r="BR275" s="85"/>
      <c r="BS275" s="85"/>
      <c r="BT275" s="85"/>
      <c r="BU275" s="87"/>
      <c r="BV275" s="87"/>
      <c r="BW275" s="87"/>
      <c r="BX275" s="87"/>
      <c r="BY275" s="87"/>
      <c r="BZ275" s="87"/>
      <c r="CA275" s="90"/>
      <c r="CB275" s="90"/>
      <c r="CC275" s="90"/>
      <c r="CD275" s="90"/>
      <c r="CE275" s="90"/>
      <c r="CF275" s="90"/>
      <c r="CG275" s="85"/>
      <c r="CH275" s="85"/>
      <c r="CI275" s="85"/>
      <c r="CJ275" s="85"/>
      <c r="CK275" s="85"/>
      <c r="CL275" s="87"/>
      <c r="CM275" s="87"/>
      <c r="CN275" s="87"/>
      <c r="CO275" s="87"/>
      <c r="CP275" s="90"/>
      <c r="CQ275" s="90"/>
      <c r="CR275" s="90"/>
      <c r="CS275" s="90"/>
      <c r="CT275" s="85"/>
      <c r="CU275" s="85"/>
      <c r="CV275" s="85"/>
      <c r="CW275" s="85"/>
      <c r="CX275" s="85"/>
      <c r="CY275" s="85"/>
      <c r="CZ275" s="85"/>
      <c r="DA275" s="33">
        <f t="shared" si="3"/>
        <v>0</v>
      </c>
    </row>
    <row r="276" spans="36:105" ht="19" x14ac:dyDescent="0.25">
      <c r="AJ276" s="63"/>
      <c r="AK276" s="20"/>
      <c r="AL276" s="21"/>
      <c r="AM276" s="22"/>
      <c r="AN276" s="23"/>
      <c r="AO276" s="24"/>
      <c r="AP276" s="25"/>
      <c r="AQ276" s="26"/>
      <c r="AR276" s="27"/>
      <c r="AS276" s="192"/>
      <c r="AT276" s="111"/>
      <c r="AU276" s="193"/>
      <c r="AV276" s="140"/>
      <c r="AW276" s="118"/>
      <c r="AX276" s="141"/>
      <c r="AY276" s="149"/>
      <c r="AZ276" s="121"/>
      <c r="BA276" s="150"/>
      <c r="BB276" s="158"/>
      <c r="BC276" s="124"/>
      <c r="BD276" s="159"/>
      <c r="BE276" s="167"/>
      <c r="BF276" s="85"/>
      <c r="BG276" s="168"/>
      <c r="BH276" s="175"/>
      <c r="BI276" s="127"/>
      <c r="BJ276" s="176"/>
      <c r="BK276" s="184"/>
      <c r="BL276" s="130"/>
      <c r="BM276" s="185"/>
      <c r="BN276" s="69"/>
      <c r="BO276" s="85"/>
      <c r="BP276" s="85"/>
      <c r="BQ276" s="85"/>
      <c r="BR276" s="85"/>
      <c r="BS276" s="85"/>
      <c r="BT276" s="85"/>
      <c r="BU276" s="87"/>
      <c r="BV276" s="87"/>
      <c r="BW276" s="87"/>
      <c r="BX276" s="87"/>
      <c r="BY276" s="87"/>
      <c r="BZ276" s="87"/>
      <c r="CA276" s="90"/>
      <c r="CB276" s="90"/>
      <c r="CC276" s="90"/>
      <c r="CD276" s="90"/>
      <c r="CE276" s="90"/>
      <c r="CF276" s="90"/>
      <c r="CG276" s="85"/>
      <c r="CH276" s="85"/>
      <c r="CI276" s="85"/>
      <c r="CJ276" s="85"/>
      <c r="CK276" s="85"/>
      <c r="CL276" s="87"/>
      <c r="CM276" s="87"/>
      <c r="CN276" s="87"/>
      <c r="CO276" s="87"/>
      <c r="CP276" s="90"/>
      <c r="CQ276" s="90"/>
      <c r="CR276" s="90"/>
      <c r="CS276" s="90"/>
      <c r="CT276" s="85"/>
      <c r="CU276" s="85"/>
      <c r="CV276" s="85"/>
      <c r="CW276" s="85"/>
      <c r="CX276" s="85"/>
      <c r="CY276" s="85"/>
      <c r="CZ276" s="85"/>
      <c r="DA276" s="33">
        <f t="shared" si="3"/>
        <v>0</v>
      </c>
    </row>
    <row r="277" spans="36:105" ht="19" x14ac:dyDescent="0.25">
      <c r="AJ277" s="63"/>
      <c r="AK277" s="20"/>
      <c r="AL277" s="21"/>
      <c r="AM277" s="22"/>
      <c r="AN277" s="23"/>
      <c r="AO277" s="24"/>
      <c r="AP277" s="25"/>
      <c r="AQ277" s="26"/>
      <c r="AR277" s="27"/>
      <c r="AS277" s="192"/>
      <c r="AT277" s="111"/>
      <c r="AU277" s="193"/>
      <c r="AV277" s="140"/>
      <c r="AW277" s="118"/>
      <c r="AX277" s="141"/>
      <c r="AY277" s="149"/>
      <c r="AZ277" s="121"/>
      <c r="BA277" s="150"/>
      <c r="BB277" s="158"/>
      <c r="BC277" s="124"/>
      <c r="BD277" s="159"/>
      <c r="BE277" s="167"/>
      <c r="BF277" s="85"/>
      <c r="BG277" s="168"/>
      <c r="BH277" s="175"/>
      <c r="BI277" s="127"/>
      <c r="BJ277" s="176"/>
      <c r="BK277" s="184"/>
      <c r="BL277" s="130"/>
      <c r="BM277" s="185"/>
      <c r="BN277" s="69"/>
      <c r="BO277" s="85"/>
      <c r="BP277" s="85"/>
      <c r="BQ277" s="85"/>
      <c r="BR277" s="85"/>
      <c r="BS277" s="85"/>
      <c r="BT277" s="85"/>
      <c r="BU277" s="87"/>
      <c r="BV277" s="87"/>
      <c r="BW277" s="87"/>
      <c r="BX277" s="87"/>
      <c r="BY277" s="87"/>
      <c r="BZ277" s="87"/>
      <c r="CA277" s="90"/>
      <c r="CB277" s="90"/>
      <c r="CC277" s="90"/>
      <c r="CD277" s="90"/>
      <c r="CE277" s="90"/>
      <c r="CF277" s="90"/>
      <c r="CG277" s="85"/>
      <c r="CH277" s="85"/>
      <c r="CI277" s="85"/>
      <c r="CJ277" s="85"/>
      <c r="CK277" s="85"/>
      <c r="CL277" s="87"/>
      <c r="CM277" s="87"/>
      <c r="CN277" s="87"/>
      <c r="CO277" s="87"/>
      <c r="CP277" s="90"/>
      <c r="CQ277" s="90"/>
      <c r="CR277" s="90"/>
      <c r="CS277" s="90"/>
      <c r="CT277" s="85"/>
      <c r="CU277" s="85"/>
      <c r="CV277" s="85"/>
      <c r="CW277" s="85"/>
      <c r="CX277" s="85"/>
      <c r="CY277" s="85"/>
      <c r="CZ277" s="85"/>
      <c r="DA277" s="33">
        <f t="shared" si="3"/>
        <v>0</v>
      </c>
    </row>
    <row r="278" spans="36:105" ht="19" x14ac:dyDescent="0.25">
      <c r="AJ278" s="63"/>
      <c r="AK278" s="20"/>
      <c r="AL278" s="21"/>
      <c r="AM278" s="22"/>
      <c r="AN278" s="23"/>
      <c r="AO278" s="24"/>
      <c r="AP278" s="25"/>
      <c r="AQ278" s="26"/>
      <c r="AR278" s="27"/>
      <c r="AS278" s="192"/>
      <c r="AT278" s="111"/>
      <c r="AU278" s="193"/>
      <c r="AV278" s="140"/>
      <c r="AW278" s="118"/>
      <c r="AX278" s="141"/>
      <c r="AY278" s="149"/>
      <c r="AZ278" s="121"/>
      <c r="BA278" s="150"/>
      <c r="BB278" s="158"/>
      <c r="BC278" s="124"/>
      <c r="BD278" s="159"/>
      <c r="BE278" s="167"/>
      <c r="BF278" s="85"/>
      <c r="BG278" s="168"/>
      <c r="BH278" s="175"/>
      <c r="BI278" s="127"/>
      <c r="BJ278" s="176"/>
      <c r="BK278" s="184"/>
      <c r="BL278" s="130"/>
      <c r="BM278" s="185"/>
      <c r="BN278" s="69"/>
      <c r="BO278" s="85"/>
      <c r="BP278" s="85"/>
      <c r="BQ278" s="85"/>
      <c r="BR278" s="85"/>
      <c r="BS278" s="85"/>
      <c r="BT278" s="85"/>
      <c r="BU278" s="87"/>
      <c r="BV278" s="87"/>
      <c r="BW278" s="87"/>
      <c r="BX278" s="87"/>
      <c r="BY278" s="87"/>
      <c r="BZ278" s="87"/>
      <c r="CA278" s="90"/>
      <c r="CB278" s="90"/>
      <c r="CC278" s="90"/>
      <c r="CD278" s="90"/>
      <c r="CE278" s="90"/>
      <c r="CF278" s="90"/>
      <c r="CG278" s="85"/>
      <c r="CH278" s="85"/>
      <c r="CI278" s="85"/>
      <c r="CJ278" s="85"/>
      <c r="CK278" s="85"/>
      <c r="CL278" s="87"/>
      <c r="CM278" s="87"/>
      <c r="CN278" s="87"/>
      <c r="CO278" s="87"/>
      <c r="CP278" s="90"/>
      <c r="CQ278" s="90"/>
      <c r="CR278" s="90"/>
      <c r="CS278" s="90"/>
      <c r="CT278" s="85"/>
      <c r="CU278" s="85"/>
      <c r="CV278" s="85"/>
      <c r="CW278" s="85"/>
      <c r="CX278" s="85"/>
      <c r="CY278" s="85"/>
      <c r="CZ278" s="85"/>
      <c r="DA278" s="33">
        <f t="shared" si="3"/>
        <v>0</v>
      </c>
    </row>
    <row r="279" spans="36:105" ht="19" x14ac:dyDescent="0.25">
      <c r="AJ279" s="63"/>
      <c r="AK279" s="20"/>
      <c r="AL279" s="21"/>
      <c r="AM279" s="22"/>
      <c r="AN279" s="23"/>
      <c r="AO279" s="24"/>
      <c r="AP279" s="25"/>
      <c r="AQ279" s="26"/>
      <c r="AR279" s="27"/>
      <c r="AS279" s="192"/>
      <c r="AT279" s="111"/>
      <c r="AU279" s="193"/>
      <c r="AV279" s="140"/>
      <c r="AW279" s="118"/>
      <c r="AX279" s="141"/>
      <c r="AY279" s="149"/>
      <c r="AZ279" s="121"/>
      <c r="BA279" s="150"/>
      <c r="BB279" s="158"/>
      <c r="BC279" s="124"/>
      <c r="BD279" s="159"/>
      <c r="BE279" s="167"/>
      <c r="BF279" s="85"/>
      <c r="BG279" s="168"/>
      <c r="BH279" s="175"/>
      <c r="BI279" s="127"/>
      <c r="BJ279" s="176"/>
      <c r="BK279" s="184"/>
      <c r="BL279" s="130"/>
      <c r="BM279" s="185"/>
      <c r="BN279" s="69"/>
      <c r="BO279" s="85"/>
      <c r="BP279" s="85"/>
      <c r="BQ279" s="85"/>
      <c r="BR279" s="85"/>
      <c r="BS279" s="85"/>
      <c r="BT279" s="85"/>
      <c r="BU279" s="87"/>
      <c r="BV279" s="87"/>
      <c r="BW279" s="87"/>
      <c r="BX279" s="87"/>
      <c r="BY279" s="87"/>
      <c r="BZ279" s="87"/>
      <c r="CA279" s="90"/>
      <c r="CB279" s="90"/>
      <c r="CC279" s="90"/>
      <c r="CD279" s="90"/>
      <c r="CE279" s="90"/>
      <c r="CF279" s="90"/>
      <c r="CG279" s="85"/>
      <c r="CH279" s="85"/>
      <c r="CI279" s="85"/>
      <c r="CJ279" s="85"/>
      <c r="CK279" s="85"/>
      <c r="CL279" s="87"/>
      <c r="CM279" s="87"/>
      <c r="CN279" s="87"/>
      <c r="CO279" s="87"/>
      <c r="CP279" s="90"/>
      <c r="CQ279" s="90"/>
      <c r="CR279" s="90"/>
      <c r="CS279" s="90"/>
      <c r="CT279" s="85"/>
      <c r="CU279" s="85"/>
      <c r="CV279" s="85"/>
      <c r="CW279" s="85"/>
      <c r="CX279" s="85"/>
      <c r="CY279" s="85"/>
      <c r="CZ279" s="85"/>
      <c r="DA279" s="33">
        <f t="shared" si="3"/>
        <v>0</v>
      </c>
    </row>
    <row r="280" spans="36:105" ht="19" x14ac:dyDescent="0.25">
      <c r="AJ280" s="63"/>
      <c r="AK280" s="20"/>
      <c r="AL280" s="21"/>
      <c r="AM280" s="22"/>
      <c r="AN280" s="23"/>
      <c r="AO280" s="24"/>
      <c r="AP280" s="25"/>
      <c r="AQ280" s="26"/>
      <c r="AR280" s="27"/>
      <c r="AS280" s="192"/>
      <c r="AT280" s="111"/>
      <c r="AU280" s="193"/>
      <c r="AV280" s="140"/>
      <c r="AW280" s="118"/>
      <c r="AX280" s="141"/>
      <c r="AY280" s="149"/>
      <c r="AZ280" s="121"/>
      <c r="BA280" s="150"/>
      <c r="BB280" s="158"/>
      <c r="BC280" s="124"/>
      <c r="BD280" s="159"/>
      <c r="BE280" s="167"/>
      <c r="BF280" s="85"/>
      <c r="BG280" s="168"/>
      <c r="BH280" s="175"/>
      <c r="BI280" s="127"/>
      <c r="BJ280" s="176"/>
      <c r="BK280" s="184"/>
      <c r="BL280" s="130"/>
      <c r="BM280" s="185"/>
      <c r="BN280" s="69"/>
      <c r="BO280" s="85"/>
      <c r="BP280" s="85"/>
      <c r="BQ280" s="85"/>
      <c r="BR280" s="85"/>
      <c r="BS280" s="85"/>
      <c r="BT280" s="85"/>
      <c r="BU280" s="87"/>
      <c r="BV280" s="87"/>
      <c r="BW280" s="87"/>
      <c r="BX280" s="87"/>
      <c r="BY280" s="87"/>
      <c r="BZ280" s="87"/>
      <c r="CA280" s="90"/>
      <c r="CB280" s="90"/>
      <c r="CC280" s="90"/>
      <c r="CD280" s="90"/>
      <c r="CE280" s="90"/>
      <c r="CF280" s="90"/>
      <c r="CG280" s="85"/>
      <c r="CH280" s="85"/>
      <c r="CI280" s="85"/>
      <c r="CJ280" s="85"/>
      <c r="CK280" s="85"/>
      <c r="CL280" s="87"/>
      <c r="CM280" s="87"/>
      <c r="CN280" s="87"/>
      <c r="CO280" s="87"/>
      <c r="CP280" s="90"/>
      <c r="CQ280" s="90"/>
      <c r="CR280" s="90"/>
      <c r="CS280" s="90"/>
      <c r="CT280" s="85"/>
      <c r="CU280" s="85"/>
      <c r="CV280" s="85"/>
      <c r="CW280" s="85"/>
      <c r="CX280" s="85"/>
      <c r="CY280" s="85"/>
      <c r="CZ280" s="85"/>
      <c r="DA280" s="33">
        <f t="shared" si="3"/>
        <v>0</v>
      </c>
    </row>
    <row r="281" spans="36:105" ht="19" x14ac:dyDescent="0.25">
      <c r="AJ281" s="63"/>
      <c r="AK281" s="20"/>
      <c r="AL281" s="21"/>
      <c r="AM281" s="22"/>
      <c r="AN281" s="23"/>
      <c r="AO281" s="24"/>
      <c r="AP281" s="25"/>
      <c r="AQ281" s="26"/>
      <c r="AR281" s="27"/>
      <c r="AS281" s="192"/>
      <c r="AT281" s="111"/>
      <c r="AU281" s="193"/>
      <c r="AV281" s="140"/>
      <c r="AW281" s="118"/>
      <c r="AX281" s="141"/>
      <c r="AY281" s="149"/>
      <c r="AZ281" s="121"/>
      <c r="BA281" s="150"/>
      <c r="BB281" s="158"/>
      <c r="BC281" s="124"/>
      <c r="BD281" s="159"/>
      <c r="BE281" s="167"/>
      <c r="BF281" s="85"/>
      <c r="BG281" s="168"/>
      <c r="BH281" s="175"/>
      <c r="BI281" s="127"/>
      <c r="BJ281" s="176"/>
      <c r="BK281" s="184"/>
      <c r="BL281" s="130"/>
      <c r="BM281" s="185"/>
      <c r="BN281" s="69"/>
      <c r="BO281" s="85"/>
      <c r="BP281" s="85"/>
      <c r="BQ281" s="85"/>
      <c r="BR281" s="85"/>
      <c r="BS281" s="85"/>
      <c r="BT281" s="85"/>
      <c r="BU281" s="87"/>
      <c r="BV281" s="87"/>
      <c r="BW281" s="87"/>
      <c r="BX281" s="87"/>
      <c r="BY281" s="87"/>
      <c r="BZ281" s="87"/>
      <c r="CA281" s="90"/>
      <c r="CB281" s="90"/>
      <c r="CC281" s="90"/>
      <c r="CD281" s="90"/>
      <c r="CE281" s="90"/>
      <c r="CF281" s="90"/>
      <c r="CG281" s="85"/>
      <c r="CH281" s="85"/>
      <c r="CI281" s="85"/>
      <c r="CJ281" s="85"/>
      <c r="CK281" s="85"/>
      <c r="CL281" s="87"/>
      <c r="CM281" s="87"/>
      <c r="CN281" s="87"/>
      <c r="CO281" s="87"/>
      <c r="CP281" s="90"/>
      <c r="CQ281" s="90"/>
      <c r="CR281" s="90"/>
      <c r="CS281" s="90"/>
      <c r="CT281" s="85"/>
      <c r="CU281" s="85"/>
      <c r="CV281" s="85"/>
      <c r="CW281" s="85"/>
      <c r="CX281" s="85"/>
      <c r="CY281" s="85"/>
      <c r="CZ281" s="85"/>
      <c r="DA281" s="33">
        <f t="shared" si="3"/>
        <v>0</v>
      </c>
    </row>
    <row r="282" spans="36:105" ht="19" x14ac:dyDescent="0.25">
      <c r="AJ282" s="63"/>
      <c r="AK282" s="20"/>
      <c r="AL282" s="21"/>
      <c r="AM282" s="22"/>
      <c r="AN282" s="23"/>
      <c r="AO282" s="24"/>
      <c r="AP282" s="25"/>
      <c r="AQ282" s="26"/>
      <c r="AR282" s="27"/>
      <c r="AS282" s="192"/>
      <c r="AT282" s="111"/>
      <c r="AU282" s="193"/>
      <c r="AV282" s="140"/>
      <c r="AW282" s="118"/>
      <c r="AX282" s="141"/>
      <c r="AY282" s="149"/>
      <c r="AZ282" s="121"/>
      <c r="BA282" s="150"/>
      <c r="BB282" s="158"/>
      <c r="BC282" s="124"/>
      <c r="BD282" s="159"/>
      <c r="BE282" s="167"/>
      <c r="BF282" s="85"/>
      <c r="BG282" s="168"/>
      <c r="BH282" s="175"/>
      <c r="BI282" s="127"/>
      <c r="BJ282" s="176"/>
      <c r="BK282" s="184"/>
      <c r="BL282" s="130"/>
      <c r="BM282" s="185"/>
      <c r="BN282" s="69"/>
      <c r="BO282" s="85"/>
      <c r="BP282" s="85"/>
      <c r="BQ282" s="85"/>
      <c r="BR282" s="85"/>
      <c r="BS282" s="85"/>
      <c r="BT282" s="85"/>
      <c r="BU282" s="87"/>
      <c r="BV282" s="87"/>
      <c r="BW282" s="87"/>
      <c r="BX282" s="87"/>
      <c r="BY282" s="87"/>
      <c r="BZ282" s="87"/>
      <c r="CA282" s="90"/>
      <c r="CB282" s="90"/>
      <c r="CC282" s="90"/>
      <c r="CD282" s="90"/>
      <c r="CE282" s="90"/>
      <c r="CF282" s="90"/>
      <c r="CG282" s="85"/>
      <c r="CH282" s="85"/>
      <c r="CI282" s="85"/>
      <c r="CJ282" s="85"/>
      <c r="CK282" s="85"/>
      <c r="CL282" s="87"/>
      <c r="CM282" s="87"/>
      <c r="CN282" s="87"/>
      <c r="CO282" s="87"/>
      <c r="CP282" s="90"/>
      <c r="CQ282" s="90"/>
      <c r="CR282" s="90"/>
      <c r="CS282" s="90"/>
      <c r="CT282" s="85"/>
      <c r="CU282" s="85"/>
      <c r="CV282" s="85"/>
      <c r="CW282" s="85"/>
      <c r="CX282" s="85"/>
      <c r="CY282" s="85"/>
      <c r="CZ282" s="85"/>
      <c r="DA282" s="33">
        <f t="shared" si="3"/>
        <v>0</v>
      </c>
    </row>
    <row r="283" spans="36:105" ht="19" x14ac:dyDescent="0.25">
      <c r="AJ283" s="63"/>
      <c r="AK283" s="20"/>
      <c r="AL283" s="21"/>
      <c r="AM283" s="22"/>
      <c r="AN283" s="23"/>
      <c r="AO283" s="24"/>
      <c r="AP283" s="25"/>
      <c r="AQ283" s="26"/>
      <c r="AR283" s="27"/>
      <c r="AS283" s="192"/>
      <c r="AT283" s="111"/>
      <c r="AU283" s="193"/>
      <c r="AV283" s="140"/>
      <c r="AW283" s="118"/>
      <c r="AX283" s="141"/>
      <c r="AY283" s="149"/>
      <c r="AZ283" s="121"/>
      <c r="BA283" s="150"/>
      <c r="BB283" s="158"/>
      <c r="BC283" s="124"/>
      <c r="BD283" s="159"/>
      <c r="BE283" s="167"/>
      <c r="BF283" s="85"/>
      <c r="BG283" s="168"/>
      <c r="BH283" s="175"/>
      <c r="BI283" s="127"/>
      <c r="BJ283" s="176"/>
      <c r="BK283" s="184"/>
      <c r="BL283" s="130"/>
      <c r="BM283" s="185"/>
      <c r="BN283" s="69"/>
      <c r="BO283" s="85"/>
      <c r="BP283" s="85"/>
      <c r="BQ283" s="85"/>
      <c r="BR283" s="85"/>
      <c r="BS283" s="85"/>
      <c r="BT283" s="85"/>
      <c r="BU283" s="87"/>
      <c r="BV283" s="87"/>
      <c r="BW283" s="87"/>
      <c r="BX283" s="87"/>
      <c r="BY283" s="87"/>
      <c r="BZ283" s="87"/>
      <c r="CA283" s="90"/>
      <c r="CB283" s="90"/>
      <c r="CC283" s="90"/>
      <c r="CD283" s="90"/>
      <c r="CE283" s="90"/>
      <c r="CF283" s="90"/>
      <c r="CG283" s="85"/>
      <c r="CH283" s="85"/>
      <c r="CI283" s="85"/>
      <c r="CJ283" s="85"/>
      <c r="CK283" s="85"/>
      <c r="CL283" s="87"/>
      <c r="CM283" s="87"/>
      <c r="CN283" s="87"/>
      <c r="CO283" s="87"/>
      <c r="CP283" s="90"/>
      <c r="CQ283" s="90"/>
      <c r="CR283" s="90"/>
      <c r="CS283" s="90"/>
      <c r="CT283" s="85"/>
      <c r="CU283" s="85"/>
      <c r="CV283" s="85"/>
      <c r="CW283" s="85"/>
      <c r="CX283" s="85"/>
      <c r="CY283" s="85"/>
      <c r="CZ283" s="85"/>
      <c r="DA283" s="33">
        <f t="shared" si="3"/>
        <v>0</v>
      </c>
    </row>
    <row r="284" spans="36:105" ht="19" x14ac:dyDescent="0.25">
      <c r="AJ284" s="63"/>
      <c r="AK284" s="20"/>
      <c r="AL284" s="21"/>
      <c r="AM284" s="22"/>
      <c r="AN284" s="23"/>
      <c r="AO284" s="24"/>
      <c r="AP284" s="25"/>
      <c r="AQ284" s="26"/>
      <c r="AR284" s="27"/>
      <c r="AS284" s="192"/>
      <c r="AT284" s="111"/>
      <c r="AU284" s="193"/>
      <c r="AV284" s="140"/>
      <c r="AW284" s="118"/>
      <c r="AX284" s="141"/>
      <c r="AY284" s="149"/>
      <c r="AZ284" s="121"/>
      <c r="BA284" s="150"/>
      <c r="BB284" s="158"/>
      <c r="BC284" s="124"/>
      <c r="BD284" s="159"/>
      <c r="BE284" s="167"/>
      <c r="BF284" s="85"/>
      <c r="BG284" s="168"/>
      <c r="BH284" s="175"/>
      <c r="BI284" s="127"/>
      <c r="BJ284" s="176"/>
      <c r="BK284" s="184"/>
      <c r="BL284" s="130"/>
      <c r="BM284" s="185"/>
      <c r="BN284" s="69"/>
      <c r="BO284" s="85"/>
      <c r="BP284" s="85"/>
      <c r="BQ284" s="85"/>
      <c r="BR284" s="85"/>
      <c r="BS284" s="85"/>
      <c r="BT284" s="85"/>
      <c r="BU284" s="87"/>
      <c r="BV284" s="87"/>
      <c r="BW284" s="87"/>
      <c r="BX284" s="87"/>
      <c r="BY284" s="87"/>
      <c r="BZ284" s="87"/>
      <c r="CA284" s="90"/>
      <c r="CB284" s="90"/>
      <c r="CC284" s="90"/>
      <c r="CD284" s="90"/>
      <c r="CE284" s="90"/>
      <c r="CF284" s="90"/>
      <c r="CG284" s="85"/>
      <c r="CH284" s="85"/>
      <c r="CI284" s="85"/>
      <c r="CJ284" s="85"/>
      <c r="CK284" s="85"/>
      <c r="CL284" s="87"/>
      <c r="CM284" s="87"/>
      <c r="CN284" s="87"/>
      <c r="CO284" s="87"/>
      <c r="CP284" s="90"/>
      <c r="CQ284" s="90"/>
      <c r="CR284" s="90"/>
      <c r="CS284" s="90"/>
      <c r="CT284" s="85"/>
      <c r="CU284" s="85"/>
      <c r="CV284" s="85"/>
      <c r="CW284" s="85"/>
      <c r="CX284" s="85"/>
      <c r="CY284" s="85"/>
      <c r="CZ284" s="85"/>
      <c r="DA284" s="33">
        <f t="shared" si="3"/>
        <v>0</v>
      </c>
    </row>
    <row r="285" spans="36:105" ht="19" x14ac:dyDescent="0.25">
      <c r="AJ285" s="63"/>
      <c r="AK285" s="20"/>
      <c r="AL285" s="21"/>
      <c r="AM285" s="22"/>
      <c r="AN285" s="23"/>
      <c r="AO285" s="24"/>
      <c r="AP285" s="25"/>
      <c r="AQ285" s="26"/>
      <c r="AR285" s="27"/>
      <c r="AS285" s="192"/>
      <c r="AT285" s="111"/>
      <c r="AU285" s="193"/>
      <c r="AV285" s="140"/>
      <c r="AW285" s="118"/>
      <c r="AX285" s="141"/>
      <c r="AY285" s="149"/>
      <c r="AZ285" s="121"/>
      <c r="BA285" s="150"/>
      <c r="BB285" s="158"/>
      <c r="BC285" s="124"/>
      <c r="BD285" s="159"/>
      <c r="BE285" s="167"/>
      <c r="BF285" s="85"/>
      <c r="BG285" s="168"/>
      <c r="BH285" s="175"/>
      <c r="BI285" s="127"/>
      <c r="BJ285" s="176"/>
      <c r="BK285" s="184"/>
      <c r="BL285" s="130"/>
      <c r="BM285" s="185"/>
      <c r="BN285" s="69"/>
      <c r="BO285" s="85"/>
      <c r="BP285" s="85"/>
      <c r="BQ285" s="85"/>
      <c r="BR285" s="85"/>
      <c r="BS285" s="85"/>
      <c r="BT285" s="85"/>
      <c r="BU285" s="87"/>
      <c r="BV285" s="87"/>
      <c r="BW285" s="87"/>
      <c r="BX285" s="87"/>
      <c r="BY285" s="87"/>
      <c r="BZ285" s="87"/>
      <c r="CA285" s="90"/>
      <c r="CB285" s="90"/>
      <c r="CC285" s="90"/>
      <c r="CD285" s="90"/>
      <c r="CE285" s="90"/>
      <c r="CF285" s="90"/>
      <c r="CG285" s="85"/>
      <c r="CH285" s="85"/>
      <c r="CI285" s="85"/>
      <c r="CJ285" s="85"/>
      <c r="CK285" s="85"/>
      <c r="CL285" s="87"/>
      <c r="CM285" s="87"/>
      <c r="CN285" s="87"/>
      <c r="CO285" s="87"/>
      <c r="CP285" s="90"/>
      <c r="CQ285" s="90"/>
      <c r="CR285" s="90"/>
      <c r="CS285" s="90"/>
      <c r="CT285" s="85"/>
      <c r="CU285" s="85"/>
      <c r="CV285" s="85"/>
      <c r="CW285" s="85"/>
      <c r="CX285" s="85"/>
      <c r="CY285" s="85"/>
      <c r="CZ285" s="85"/>
      <c r="DA285" s="33">
        <f t="shared" si="3"/>
        <v>0</v>
      </c>
    </row>
    <row r="286" spans="36:105" ht="19" x14ac:dyDescent="0.25">
      <c r="AJ286" s="63"/>
      <c r="AK286" s="20"/>
      <c r="AL286" s="21"/>
      <c r="AM286" s="22"/>
      <c r="AN286" s="23"/>
      <c r="AO286" s="24"/>
      <c r="AP286" s="25"/>
      <c r="AQ286" s="26"/>
      <c r="AR286" s="27"/>
      <c r="AS286" s="192"/>
      <c r="AT286" s="111"/>
      <c r="AU286" s="193"/>
      <c r="AV286" s="140"/>
      <c r="AW286" s="118"/>
      <c r="AX286" s="141"/>
      <c r="AY286" s="149"/>
      <c r="AZ286" s="121"/>
      <c r="BA286" s="150"/>
      <c r="BB286" s="158"/>
      <c r="BC286" s="124"/>
      <c r="BD286" s="159"/>
      <c r="BE286" s="167"/>
      <c r="BF286" s="85"/>
      <c r="BG286" s="168"/>
      <c r="BH286" s="175"/>
      <c r="BI286" s="127"/>
      <c r="BJ286" s="176"/>
      <c r="BK286" s="184"/>
      <c r="BL286" s="130"/>
      <c r="BM286" s="185"/>
      <c r="BN286" s="69"/>
      <c r="BO286" s="85"/>
      <c r="BP286" s="85"/>
      <c r="BQ286" s="85"/>
      <c r="BR286" s="85"/>
      <c r="BS286" s="85"/>
      <c r="BT286" s="85"/>
      <c r="BU286" s="87"/>
      <c r="BV286" s="87"/>
      <c r="BW286" s="87"/>
      <c r="BX286" s="87"/>
      <c r="BY286" s="87"/>
      <c r="BZ286" s="87"/>
      <c r="CA286" s="90"/>
      <c r="CB286" s="90"/>
      <c r="CC286" s="90"/>
      <c r="CD286" s="90"/>
      <c r="CE286" s="90"/>
      <c r="CF286" s="90"/>
      <c r="CG286" s="85"/>
      <c r="CH286" s="85"/>
      <c r="CI286" s="85"/>
      <c r="CJ286" s="85"/>
      <c r="CK286" s="85"/>
      <c r="CL286" s="87"/>
      <c r="CM286" s="87"/>
      <c r="CN286" s="87"/>
      <c r="CO286" s="87"/>
      <c r="CP286" s="90"/>
      <c r="CQ286" s="90"/>
      <c r="CR286" s="90"/>
      <c r="CS286" s="90"/>
      <c r="CT286" s="85"/>
      <c r="CU286" s="85"/>
      <c r="CV286" s="85"/>
      <c r="CW286" s="85"/>
      <c r="CX286" s="85"/>
      <c r="CY286" s="85"/>
      <c r="CZ286" s="85"/>
      <c r="DA286" s="33">
        <f t="shared" si="3"/>
        <v>0</v>
      </c>
    </row>
    <row r="287" spans="36:105" ht="19" x14ac:dyDescent="0.25">
      <c r="AJ287" s="63"/>
      <c r="AK287" s="20"/>
      <c r="AL287" s="21"/>
      <c r="AM287" s="22"/>
      <c r="AN287" s="23"/>
      <c r="AO287" s="24"/>
      <c r="AP287" s="25"/>
      <c r="AQ287" s="26"/>
      <c r="AR287" s="27"/>
      <c r="AS287" s="192"/>
      <c r="AT287" s="111"/>
      <c r="AU287" s="193"/>
      <c r="AV287" s="140"/>
      <c r="AW287" s="118"/>
      <c r="AX287" s="141"/>
      <c r="AY287" s="149"/>
      <c r="AZ287" s="121"/>
      <c r="BA287" s="150"/>
      <c r="BB287" s="158"/>
      <c r="BC287" s="124"/>
      <c r="BD287" s="159"/>
      <c r="BE287" s="167"/>
      <c r="BF287" s="85"/>
      <c r="BG287" s="168"/>
      <c r="BH287" s="175"/>
      <c r="BI287" s="127"/>
      <c r="BJ287" s="176"/>
      <c r="BK287" s="184"/>
      <c r="BL287" s="130"/>
      <c r="BM287" s="185"/>
      <c r="BN287" s="69"/>
      <c r="BO287" s="85"/>
      <c r="BP287" s="85"/>
      <c r="BQ287" s="85"/>
      <c r="BR287" s="85"/>
      <c r="BS287" s="85"/>
      <c r="BT287" s="85"/>
      <c r="BU287" s="87"/>
      <c r="BV287" s="87"/>
      <c r="BW287" s="87"/>
      <c r="BX287" s="87"/>
      <c r="BY287" s="87"/>
      <c r="BZ287" s="87"/>
      <c r="CA287" s="90"/>
      <c r="CB287" s="90"/>
      <c r="CC287" s="90"/>
      <c r="CD287" s="90"/>
      <c r="CE287" s="90"/>
      <c r="CF287" s="90"/>
      <c r="CG287" s="85"/>
      <c r="CH287" s="85"/>
      <c r="CI287" s="85"/>
      <c r="CJ287" s="85"/>
      <c r="CK287" s="85"/>
      <c r="CL287" s="87"/>
      <c r="CM287" s="87"/>
      <c r="CN287" s="87"/>
      <c r="CO287" s="87"/>
      <c r="CP287" s="90"/>
      <c r="CQ287" s="90"/>
      <c r="CR287" s="90"/>
      <c r="CS287" s="90"/>
      <c r="CT287" s="85"/>
      <c r="CU287" s="85"/>
      <c r="CV287" s="85"/>
      <c r="CW287" s="85"/>
      <c r="CX287" s="85"/>
      <c r="CY287" s="85"/>
      <c r="CZ287" s="85"/>
      <c r="DA287" s="33">
        <f t="shared" si="3"/>
        <v>0</v>
      </c>
    </row>
    <row r="288" spans="36:105" ht="19" x14ac:dyDescent="0.25">
      <c r="AJ288" s="63"/>
      <c r="AK288" s="20"/>
      <c r="AL288" s="21"/>
      <c r="AM288" s="22"/>
      <c r="AN288" s="23"/>
      <c r="AO288" s="24"/>
      <c r="AP288" s="25"/>
      <c r="AQ288" s="26"/>
      <c r="AR288" s="27"/>
      <c r="AS288" s="192"/>
      <c r="AT288" s="111"/>
      <c r="AU288" s="193"/>
      <c r="AV288" s="140"/>
      <c r="AW288" s="118"/>
      <c r="AX288" s="141"/>
      <c r="AY288" s="149"/>
      <c r="AZ288" s="121"/>
      <c r="BA288" s="150"/>
      <c r="BB288" s="158"/>
      <c r="BC288" s="124"/>
      <c r="BD288" s="159"/>
      <c r="BE288" s="167"/>
      <c r="BF288" s="85"/>
      <c r="BG288" s="168"/>
      <c r="BH288" s="175"/>
      <c r="BI288" s="127"/>
      <c r="BJ288" s="176"/>
      <c r="BK288" s="184"/>
      <c r="BL288" s="130"/>
      <c r="BM288" s="185"/>
      <c r="BN288" s="69"/>
      <c r="BO288" s="85"/>
      <c r="BP288" s="85"/>
      <c r="BQ288" s="85"/>
      <c r="BR288" s="85"/>
      <c r="BS288" s="85"/>
      <c r="BT288" s="85"/>
      <c r="BU288" s="87"/>
      <c r="BV288" s="87"/>
      <c r="BW288" s="87"/>
      <c r="BX288" s="87"/>
      <c r="BY288" s="87"/>
      <c r="BZ288" s="87"/>
      <c r="CA288" s="90"/>
      <c r="CB288" s="90"/>
      <c r="CC288" s="90"/>
      <c r="CD288" s="90"/>
      <c r="CE288" s="90"/>
      <c r="CF288" s="90"/>
      <c r="CG288" s="85"/>
      <c r="CH288" s="85"/>
      <c r="CI288" s="85"/>
      <c r="CJ288" s="85"/>
      <c r="CK288" s="85"/>
      <c r="CL288" s="87"/>
      <c r="CM288" s="87"/>
      <c r="CN288" s="87"/>
      <c r="CO288" s="87"/>
      <c r="CP288" s="90"/>
      <c r="CQ288" s="90"/>
      <c r="CR288" s="90"/>
      <c r="CS288" s="90"/>
      <c r="CT288" s="85"/>
      <c r="CU288" s="85"/>
      <c r="CV288" s="85"/>
      <c r="CW288" s="85"/>
      <c r="CX288" s="85"/>
      <c r="CY288" s="85"/>
      <c r="CZ288" s="85"/>
      <c r="DA288" s="33">
        <f t="shared" si="3"/>
        <v>0</v>
      </c>
    </row>
    <row r="289" spans="36:105" ht="19" x14ac:dyDescent="0.25">
      <c r="AJ289" s="63"/>
      <c r="AK289" s="20"/>
      <c r="AL289" s="21"/>
      <c r="AM289" s="22"/>
      <c r="AN289" s="23"/>
      <c r="AO289" s="24"/>
      <c r="AP289" s="25"/>
      <c r="AQ289" s="26"/>
      <c r="AR289" s="27"/>
      <c r="AS289" s="192"/>
      <c r="AT289" s="111"/>
      <c r="AU289" s="193"/>
      <c r="AV289" s="140"/>
      <c r="AW289" s="118"/>
      <c r="AX289" s="141"/>
      <c r="AY289" s="149"/>
      <c r="AZ289" s="121"/>
      <c r="BA289" s="150"/>
      <c r="BB289" s="158"/>
      <c r="BC289" s="124"/>
      <c r="BD289" s="159"/>
      <c r="BE289" s="167"/>
      <c r="BF289" s="85"/>
      <c r="BG289" s="168"/>
      <c r="BH289" s="175"/>
      <c r="BI289" s="127"/>
      <c r="BJ289" s="176"/>
      <c r="BK289" s="184"/>
      <c r="BL289" s="130"/>
      <c r="BM289" s="185"/>
      <c r="BN289" s="69"/>
      <c r="BO289" s="85"/>
      <c r="BP289" s="85"/>
      <c r="BQ289" s="85"/>
      <c r="BR289" s="85"/>
      <c r="BS289" s="85"/>
      <c r="BT289" s="85"/>
      <c r="BU289" s="87"/>
      <c r="BV289" s="87"/>
      <c r="BW289" s="87"/>
      <c r="BX289" s="87"/>
      <c r="BY289" s="87"/>
      <c r="BZ289" s="87"/>
      <c r="CA289" s="90"/>
      <c r="CB289" s="90"/>
      <c r="CC289" s="90"/>
      <c r="CD289" s="90"/>
      <c r="CE289" s="90"/>
      <c r="CF289" s="90"/>
      <c r="CG289" s="85"/>
      <c r="CH289" s="85"/>
      <c r="CI289" s="85"/>
      <c r="CJ289" s="85"/>
      <c r="CK289" s="85"/>
      <c r="CL289" s="87"/>
      <c r="CM289" s="87"/>
      <c r="CN289" s="87"/>
      <c r="CO289" s="87"/>
      <c r="CP289" s="90"/>
      <c r="CQ289" s="90"/>
      <c r="CR289" s="90"/>
      <c r="CS289" s="90"/>
      <c r="CT289" s="85"/>
      <c r="CU289" s="85"/>
      <c r="CV289" s="85"/>
      <c r="CW289" s="85"/>
      <c r="CX289" s="85"/>
      <c r="CY289" s="85"/>
      <c r="CZ289" s="85"/>
      <c r="DA289" s="33">
        <f t="shared" si="3"/>
        <v>0</v>
      </c>
    </row>
    <row r="290" spans="36:105" ht="19" x14ac:dyDescent="0.25">
      <c r="AJ290" s="63"/>
      <c r="AK290" s="20"/>
      <c r="AL290" s="21"/>
      <c r="AM290" s="22"/>
      <c r="AN290" s="23"/>
      <c r="AO290" s="24"/>
      <c r="AP290" s="25"/>
      <c r="AQ290" s="26"/>
      <c r="AR290" s="27"/>
      <c r="AS290" s="192"/>
      <c r="AT290" s="111"/>
      <c r="AU290" s="193"/>
      <c r="AV290" s="140"/>
      <c r="AW290" s="118"/>
      <c r="AX290" s="141"/>
      <c r="AY290" s="149"/>
      <c r="AZ290" s="121"/>
      <c r="BA290" s="150"/>
      <c r="BB290" s="158"/>
      <c r="BC290" s="124"/>
      <c r="BD290" s="159"/>
      <c r="BE290" s="167"/>
      <c r="BF290" s="85"/>
      <c r="BG290" s="168"/>
      <c r="BH290" s="175"/>
      <c r="BI290" s="127"/>
      <c r="BJ290" s="176"/>
      <c r="BK290" s="184"/>
      <c r="BL290" s="130"/>
      <c r="BM290" s="185"/>
      <c r="BN290" s="69"/>
      <c r="BO290" s="85"/>
      <c r="BP290" s="85"/>
      <c r="BQ290" s="85"/>
      <c r="BR290" s="85"/>
      <c r="BS290" s="85"/>
      <c r="BT290" s="85"/>
      <c r="BU290" s="87"/>
      <c r="BV290" s="87"/>
      <c r="BW290" s="87"/>
      <c r="BX290" s="87"/>
      <c r="BY290" s="87"/>
      <c r="BZ290" s="87"/>
      <c r="CA290" s="90"/>
      <c r="CB290" s="90"/>
      <c r="CC290" s="90"/>
      <c r="CD290" s="90"/>
      <c r="CE290" s="90"/>
      <c r="CF290" s="90"/>
      <c r="CG290" s="85"/>
      <c r="CH290" s="85"/>
      <c r="CI290" s="85"/>
      <c r="CJ290" s="85"/>
      <c r="CK290" s="85"/>
      <c r="CL290" s="87"/>
      <c r="CM290" s="87"/>
      <c r="CN290" s="87"/>
      <c r="CO290" s="87"/>
      <c r="CP290" s="90"/>
      <c r="CQ290" s="90"/>
      <c r="CR290" s="90"/>
      <c r="CS290" s="90"/>
      <c r="CT290" s="85"/>
      <c r="CU290" s="85"/>
      <c r="CV290" s="85"/>
      <c r="CW290" s="85"/>
      <c r="CX290" s="85"/>
      <c r="CY290" s="85"/>
      <c r="CZ290" s="85"/>
      <c r="DA290" s="33">
        <f t="shared" si="3"/>
        <v>0</v>
      </c>
    </row>
    <row r="291" spans="36:105" ht="19" x14ac:dyDescent="0.25">
      <c r="AJ291" s="63"/>
      <c r="AK291" s="20"/>
      <c r="AL291" s="21"/>
      <c r="AM291" s="22"/>
      <c r="AN291" s="23"/>
      <c r="AO291" s="24"/>
      <c r="AP291" s="25"/>
      <c r="AQ291" s="26"/>
      <c r="AR291" s="27"/>
      <c r="AS291" s="192"/>
      <c r="AT291" s="111"/>
      <c r="AU291" s="193"/>
      <c r="AV291" s="140"/>
      <c r="AW291" s="118"/>
      <c r="AX291" s="141"/>
      <c r="AY291" s="149"/>
      <c r="AZ291" s="121"/>
      <c r="BA291" s="150"/>
      <c r="BB291" s="158"/>
      <c r="BC291" s="124"/>
      <c r="BD291" s="159"/>
      <c r="BE291" s="167"/>
      <c r="BF291" s="85"/>
      <c r="BG291" s="168"/>
      <c r="BH291" s="175"/>
      <c r="BI291" s="127"/>
      <c r="BJ291" s="176"/>
      <c r="BK291" s="184"/>
      <c r="BL291" s="130"/>
      <c r="BM291" s="185"/>
      <c r="BN291" s="69"/>
      <c r="BO291" s="85"/>
      <c r="BP291" s="85"/>
      <c r="BQ291" s="85"/>
      <c r="BR291" s="85"/>
      <c r="BS291" s="85"/>
      <c r="BT291" s="85"/>
      <c r="BU291" s="87"/>
      <c r="BV291" s="87"/>
      <c r="BW291" s="87"/>
      <c r="BX291" s="87"/>
      <c r="BY291" s="87"/>
      <c r="BZ291" s="87"/>
      <c r="CA291" s="90"/>
      <c r="CB291" s="90"/>
      <c r="CC291" s="90"/>
      <c r="CD291" s="90"/>
      <c r="CE291" s="90"/>
      <c r="CF291" s="90"/>
      <c r="CG291" s="85"/>
      <c r="CH291" s="85"/>
      <c r="CI291" s="85"/>
      <c r="CJ291" s="85"/>
      <c r="CK291" s="85"/>
      <c r="CL291" s="87"/>
      <c r="CM291" s="87"/>
      <c r="CN291" s="87"/>
      <c r="CO291" s="87"/>
      <c r="CP291" s="90"/>
      <c r="CQ291" s="90"/>
      <c r="CR291" s="90"/>
      <c r="CS291" s="90"/>
      <c r="CT291" s="85"/>
      <c r="CU291" s="85"/>
      <c r="CV291" s="85"/>
      <c r="CW291" s="85"/>
      <c r="CX291" s="85"/>
      <c r="CY291" s="85"/>
      <c r="CZ291" s="85"/>
      <c r="DA291" s="33">
        <f t="shared" si="3"/>
        <v>0</v>
      </c>
    </row>
    <row r="292" spans="36:105" ht="19" x14ac:dyDescent="0.25">
      <c r="AJ292" s="63"/>
      <c r="AK292" s="20"/>
      <c r="AL292" s="21"/>
      <c r="AM292" s="22"/>
      <c r="AN292" s="23"/>
      <c r="AO292" s="24"/>
      <c r="AP292" s="25"/>
      <c r="AQ292" s="26"/>
      <c r="AR292" s="27"/>
      <c r="AS292" s="192"/>
      <c r="AT292" s="111"/>
      <c r="AU292" s="193"/>
      <c r="AV292" s="140"/>
      <c r="AW292" s="118"/>
      <c r="AX292" s="141"/>
      <c r="AY292" s="149"/>
      <c r="AZ292" s="121"/>
      <c r="BA292" s="150"/>
      <c r="BB292" s="158"/>
      <c r="BC292" s="124"/>
      <c r="BD292" s="159"/>
      <c r="BE292" s="167"/>
      <c r="BF292" s="85"/>
      <c r="BG292" s="168"/>
      <c r="BH292" s="175"/>
      <c r="BI292" s="127"/>
      <c r="BJ292" s="176"/>
      <c r="BK292" s="184"/>
      <c r="BL292" s="130"/>
      <c r="BM292" s="185"/>
      <c r="BN292" s="69"/>
      <c r="BO292" s="85"/>
      <c r="BP292" s="85"/>
      <c r="BQ292" s="85"/>
      <c r="BR292" s="85"/>
      <c r="BS292" s="85"/>
      <c r="BT292" s="85"/>
      <c r="BU292" s="87"/>
      <c r="BV292" s="87"/>
      <c r="BW292" s="87"/>
      <c r="BX292" s="87"/>
      <c r="BY292" s="87"/>
      <c r="BZ292" s="87"/>
      <c r="CA292" s="90"/>
      <c r="CB292" s="90"/>
      <c r="CC292" s="90"/>
      <c r="CD292" s="90"/>
      <c r="CE292" s="90"/>
      <c r="CF292" s="90"/>
      <c r="CG292" s="85"/>
      <c r="CH292" s="85"/>
      <c r="CI292" s="85"/>
      <c r="CJ292" s="85"/>
      <c r="CK292" s="85"/>
      <c r="CL292" s="87"/>
      <c r="CM292" s="87"/>
      <c r="CN292" s="87"/>
      <c r="CO292" s="87"/>
      <c r="CP292" s="90"/>
      <c r="CQ292" s="90"/>
      <c r="CR292" s="90"/>
      <c r="CS292" s="90"/>
      <c r="CT292" s="85"/>
      <c r="CU292" s="85"/>
      <c r="CV292" s="85"/>
      <c r="CW292" s="85"/>
      <c r="CX292" s="85"/>
      <c r="CY292" s="85"/>
      <c r="CZ292" s="85"/>
      <c r="DA292" s="33">
        <f t="shared" si="3"/>
        <v>0</v>
      </c>
    </row>
    <row r="293" spans="36:105" ht="19" x14ac:dyDescent="0.25">
      <c r="AJ293" s="63"/>
      <c r="AK293" s="20"/>
      <c r="AL293" s="21"/>
      <c r="AM293" s="22"/>
      <c r="AN293" s="23"/>
      <c r="AO293" s="24"/>
      <c r="AP293" s="25"/>
      <c r="AQ293" s="26"/>
      <c r="AR293" s="27"/>
      <c r="AS293" s="192"/>
      <c r="AT293" s="111"/>
      <c r="AU293" s="193"/>
      <c r="AV293" s="140"/>
      <c r="AW293" s="118"/>
      <c r="AX293" s="141"/>
      <c r="AY293" s="149"/>
      <c r="AZ293" s="121"/>
      <c r="BA293" s="150"/>
      <c r="BB293" s="158"/>
      <c r="BC293" s="124"/>
      <c r="BD293" s="159"/>
      <c r="BE293" s="167"/>
      <c r="BF293" s="85"/>
      <c r="BG293" s="168"/>
      <c r="BH293" s="175"/>
      <c r="BI293" s="127"/>
      <c r="BJ293" s="176"/>
      <c r="BK293" s="184"/>
      <c r="BL293" s="130"/>
      <c r="BM293" s="185"/>
      <c r="BN293" s="69"/>
      <c r="BO293" s="85"/>
      <c r="BP293" s="85"/>
      <c r="BQ293" s="85"/>
      <c r="BR293" s="85"/>
      <c r="BS293" s="85"/>
      <c r="BT293" s="85"/>
      <c r="BU293" s="87"/>
      <c r="BV293" s="87"/>
      <c r="BW293" s="87"/>
      <c r="BX293" s="87"/>
      <c r="BY293" s="87"/>
      <c r="BZ293" s="87"/>
      <c r="CA293" s="90"/>
      <c r="CB293" s="90"/>
      <c r="CC293" s="90"/>
      <c r="CD293" s="90"/>
      <c r="CE293" s="90"/>
      <c r="CF293" s="90"/>
      <c r="CG293" s="85"/>
      <c r="CH293" s="85"/>
      <c r="CI293" s="85"/>
      <c r="CJ293" s="85"/>
      <c r="CK293" s="85"/>
      <c r="CL293" s="87"/>
      <c r="CM293" s="87"/>
      <c r="CN293" s="87"/>
      <c r="CO293" s="87"/>
      <c r="CP293" s="90"/>
      <c r="CQ293" s="90"/>
      <c r="CR293" s="90"/>
      <c r="CS293" s="90"/>
      <c r="CT293" s="85"/>
      <c r="CU293" s="85"/>
      <c r="CV293" s="85"/>
      <c r="CW293" s="85"/>
      <c r="CX293" s="85"/>
      <c r="CY293" s="85"/>
      <c r="CZ293" s="85"/>
      <c r="DA293" s="33">
        <f t="shared" si="3"/>
        <v>0</v>
      </c>
    </row>
    <row r="294" spans="36:105" ht="19" x14ac:dyDescent="0.25">
      <c r="AJ294" s="63"/>
      <c r="AK294" s="20"/>
      <c r="AL294" s="21"/>
      <c r="AM294" s="22"/>
      <c r="AN294" s="23"/>
      <c r="AO294" s="24"/>
      <c r="AP294" s="25"/>
      <c r="AQ294" s="26"/>
      <c r="AR294" s="27"/>
      <c r="AS294" s="192"/>
      <c r="AT294" s="111"/>
      <c r="AU294" s="193"/>
      <c r="AV294" s="140"/>
      <c r="AW294" s="118"/>
      <c r="AX294" s="141"/>
      <c r="AY294" s="149"/>
      <c r="AZ294" s="121"/>
      <c r="BA294" s="150"/>
      <c r="BB294" s="158"/>
      <c r="BC294" s="124"/>
      <c r="BD294" s="159"/>
      <c r="BE294" s="167"/>
      <c r="BF294" s="85"/>
      <c r="BG294" s="168"/>
      <c r="BH294" s="175"/>
      <c r="BI294" s="127"/>
      <c r="BJ294" s="176"/>
      <c r="BK294" s="184"/>
      <c r="BL294" s="130"/>
      <c r="BM294" s="185"/>
      <c r="BN294" s="69"/>
      <c r="BO294" s="85"/>
      <c r="BP294" s="85"/>
      <c r="BQ294" s="85"/>
      <c r="BR294" s="85"/>
      <c r="BS294" s="85"/>
      <c r="BT294" s="85"/>
      <c r="BU294" s="87"/>
      <c r="BV294" s="87"/>
      <c r="BW294" s="87"/>
      <c r="BX294" s="87"/>
      <c r="BY294" s="87"/>
      <c r="BZ294" s="87"/>
      <c r="CA294" s="90"/>
      <c r="CB294" s="90"/>
      <c r="CC294" s="90"/>
      <c r="CD294" s="90"/>
      <c r="CE294" s="90"/>
      <c r="CF294" s="90"/>
      <c r="CG294" s="85"/>
      <c r="CH294" s="85"/>
      <c r="CI294" s="85"/>
      <c r="CJ294" s="85"/>
      <c r="CK294" s="85"/>
      <c r="CL294" s="87"/>
      <c r="CM294" s="87"/>
      <c r="CN294" s="87"/>
      <c r="CO294" s="87"/>
      <c r="CP294" s="90"/>
      <c r="CQ294" s="90"/>
      <c r="CR294" s="90"/>
      <c r="CS294" s="90"/>
      <c r="CT294" s="85"/>
      <c r="CU294" s="85"/>
      <c r="CV294" s="85"/>
      <c r="CW294" s="85"/>
      <c r="CX294" s="85"/>
      <c r="CY294" s="85"/>
      <c r="CZ294" s="85"/>
      <c r="DA294" s="33">
        <f t="shared" ref="DA294:DA357" si="4">D294</f>
        <v>0</v>
      </c>
    </row>
    <row r="295" spans="36:105" ht="19" x14ac:dyDescent="0.25">
      <c r="AJ295" s="63"/>
      <c r="AK295" s="20"/>
      <c r="AL295" s="21"/>
      <c r="AM295" s="22"/>
      <c r="AN295" s="23"/>
      <c r="AO295" s="24"/>
      <c r="AP295" s="25"/>
      <c r="AQ295" s="26"/>
      <c r="AR295" s="27"/>
      <c r="AS295" s="192"/>
      <c r="AT295" s="111"/>
      <c r="AU295" s="193"/>
      <c r="AV295" s="140"/>
      <c r="AW295" s="118"/>
      <c r="AX295" s="141"/>
      <c r="AY295" s="149"/>
      <c r="AZ295" s="121"/>
      <c r="BA295" s="150"/>
      <c r="BB295" s="158"/>
      <c r="BC295" s="124"/>
      <c r="BD295" s="159"/>
      <c r="BE295" s="167"/>
      <c r="BF295" s="85"/>
      <c r="BG295" s="168"/>
      <c r="BH295" s="175"/>
      <c r="BI295" s="127"/>
      <c r="BJ295" s="176"/>
      <c r="BK295" s="184"/>
      <c r="BL295" s="130"/>
      <c r="BM295" s="185"/>
      <c r="BN295" s="69"/>
      <c r="BO295" s="85"/>
      <c r="BP295" s="85"/>
      <c r="BQ295" s="85"/>
      <c r="BR295" s="85"/>
      <c r="BS295" s="85"/>
      <c r="BT295" s="85"/>
      <c r="BU295" s="87"/>
      <c r="BV295" s="87"/>
      <c r="BW295" s="87"/>
      <c r="BX295" s="87"/>
      <c r="BY295" s="87"/>
      <c r="BZ295" s="87"/>
      <c r="CA295" s="90"/>
      <c r="CB295" s="90"/>
      <c r="CC295" s="90"/>
      <c r="CD295" s="90"/>
      <c r="CE295" s="90"/>
      <c r="CF295" s="90"/>
      <c r="CG295" s="85"/>
      <c r="CH295" s="85"/>
      <c r="CI295" s="85"/>
      <c r="CJ295" s="85"/>
      <c r="CK295" s="85"/>
      <c r="CL295" s="87"/>
      <c r="CM295" s="87"/>
      <c r="CN295" s="87"/>
      <c r="CO295" s="87"/>
      <c r="CP295" s="90"/>
      <c r="CQ295" s="90"/>
      <c r="CR295" s="90"/>
      <c r="CS295" s="90"/>
      <c r="CT295" s="85"/>
      <c r="CU295" s="85"/>
      <c r="CV295" s="85"/>
      <c r="CW295" s="85"/>
      <c r="CX295" s="85"/>
      <c r="CY295" s="85"/>
      <c r="CZ295" s="85"/>
      <c r="DA295" s="33">
        <f t="shared" si="4"/>
        <v>0</v>
      </c>
    </row>
    <row r="296" spans="36:105" ht="19" x14ac:dyDescent="0.25">
      <c r="AJ296" s="63"/>
      <c r="AK296" s="20"/>
      <c r="AL296" s="21"/>
      <c r="AM296" s="22"/>
      <c r="AN296" s="23"/>
      <c r="AO296" s="24"/>
      <c r="AP296" s="25"/>
      <c r="AQ296" s="26"/>
      <c r="AR296" s="27"/>
      <c r="AS296" s="192"/>
      <c r="AT296" s="111"/>
      <c r="AU296" s="193"/>
      <c r="AV296" s="140"/>
      <c r="AW296" s="118"/>
      <c r="AX296" s="141"/>
      <c r="AY296" s="149"/>
      <c r="AZ296" s="121"/>
      <c r="BA296" s="150"/>
      <c r="BB296" s="158"/>
      <c r="BC296" s="124"/>
      <c r="BD296" s="159"/>
      <c r="BE296" s="167"/>
      <c r="BF296" s="85"/>
      <c r="BG296" s="168"/>
      <c r="BH296" s="175"/>
      <c r="BI296" s="127"/>
      <c r="BJ296" s="176"/>
      <c r="BK296" s="184"/>
      <c r="BL296" s="130"/>
      <c r="BM296" s="185"/>
      <c r="BN296" s="69"/>
      <c r="BO296" s="85"/>
      <c r="BP296" s="85"/>
      <c r="BQ296" s="85"/>
      <c r="BR296" s="85"/>
      <c r="BS296" s="85"/>
      <c r="BT296" s="85"/>
      <c r="BU296" s="87"/>
      <c r="BV296" s="87"/>
      <c r="BW296" s="87"/>
      <c r="BX296" s="87"/>
      <c r="BY296" s="87"/>
      <c r="BZ296" s="87"/>
      <c r="CA296" s="90"/>
      <c r="CB296" s="90"/>
      <c r="CC296" s="90"/>
      <c r="CD296" s="90"/>
      <c r="CE296" s="90"/>
      <c r="CF296" s="90"/>
      <c r="CG296" s="85"/>
      <c r="CH296" s="85"/>
      <c r="CI296" s="85"/>
      <c r="CJ296" s="85"/>
      <c r="CK296" s="85"/>
      <c r="CL296" s="87"/>
      <c r="CM296" s="87"/>
      <c r="CN296" s="87"/>
      <c r="CO296" s="87"/>
      <c r="CP296" s="90"/>
      <c r="CQ296" s="90"/>
      <c r="CR296" s="90"/>
      <c r="CS296" s="90"/>
      <c r="CT296" s="85"/>
      <c r="CU296" s="85"/>
      <c r="CV296" s="85"/>
      <c r="CW296" s="85"/>
      <c r="CX296" s="85"/>
      <c r="CY296" s="85"/>
      <c r="CZ296" s="85"/>
      <c r="DA296" s="33">
        <f t="shared" si="4"/>
        <v>0</v>
      </c>
    </row>
    <row r="297" spans="36:105" ht="19" x14ac:dyDescent="0.25">
      <c r="AJ297" s="63"/>
      <c r="AK297" s="20"/>
      <c r="AL297" s="21"/>
      <c r="AM297" s="22"/>
      <c r="AN297" s="23"/>
      <c r="AO297" s="24"/>
      <c r="AP297" s="25"/>
      <c r="AQ297" s="26"/>
      <c r="AR297" s="27"/>
      <c r="AS297" s="192"/>
      <c r="AT297" s="111"/>
      <c r="AU297" s="193"/>
      <c r="AV297" s="140"/>
      <c r="AW297" s="118"/>
      <c r="AX297" s="141"/>
      <c r="AY297" s="149"/>
      <c r="AZ297" s="121"/>
      <c r="BA297" s="150"/>
      <c r="BB297" s="158"/>
      <c r="BC297" s="124"/>
      <c r="BD297" s="159"/>
      <c r="BE297" s="167"/>
      <c r="BF297" s="85"/>
      <c r="BG297" s="168"/>
      <c r="BH297" s="175"/>
      <c r="BI297" s="127"/>
      <c r="BJ297" s="176"/>
      <c r="BK297" s="184"/>
      <c r="BL297" s="130"/>
      <c r="BM297" s="185"/>
      <c r="BN297" s="69"/>
      <c r="BO297" s="85"/>
      <c r="BP297" s="85"/>
      <c r="BQ297" s="85"/>
      <c r="BR297" s="85"/>
      <c r="BS297" s="85"/>
      <c r="BT297" s="85"/>
      <c r="BU297" s="87"/>
      <c r="BV297" s="87"/>
      <c r="BW297" s="87"/>
      <c r="BX297" s="87"/>
      <c r="BY297" s="87"/>
      <c r="BZ297" s="87"/>
      <c r="CA297" s="90"/>
      <c r="CB297" s="90"/>
      <c r="CC297" s="90"/>
      <c r="CD297" s="90"/>
      <c r="CE297" s="90"/>
      <c r="CF297" s="90"/>
      <c r="CG297" s="85"/>
      <c r="CH297" s="85"/>
      <c r="CI297" s="85"/>
      <c r="CJ297" s="85"/>
      <c r="CK297" s="85"/>
      <c r="CL297" s="87"/>
      <c r="CM297" s="87"/>
      <c r="CN297" s="87"/>
      <c r="CO297" s="87"/>
      <c r="CP297" s="90"/>
      <c r="CQ297" s="90"/>
      <c r="CR297" s="90"/>
      <c r="CS297" s="90"/>
      <c r="CT297" s="85"/>
      <c r="CU297" s="85"/>
      <c r="CV297" s="85"/>
      <c r="CW297" s="85"/>
      <c r="CX297" s="85"/>
      <c r="CY297" s="85"/>
      <c r="CZ297" s="85"/>
      <c r="DA297" s="33">
        <f t="shared" si="4"/>
        <v>0</v>
      </c>
    </row>
    <row r="298" spans="36:105" ht="19" x14ac:dyDescent="0.25">
      <c r="AJ298" s="63"/>
      <c r="AK298" s="20"/>
      <c r="AL298" s="21"/>
      <c r="AM298" s="22"/>
      <c r="AN298" s="23"/>
      <c r="AO298" s="24"/>
      <c r="AP298" s="25"/>
      <c r="AQ298" s="26"/>
      <c r="AR298" s="27"/>
      <c r="AS298" s="192"/>
      <c r="AT298" s="111"/>
      <c r="AU298" s="193"/>
      <c r="AV298" s="140"/>
      <c r="AW298" s="118"/>
      <c r="AX298" s="141"/>
      <c r="AY298" s="149"/>
      <c r="AZ298" s="121"/>
      <c r="BA298" s="150"/>
      <c r="BB298" s="158"/>
      <c r="BC298" s="124"/>
      <c r="BD298" s="159"/>
      <c r="BE298" s="167"/>
      <c r="BF298" s="85"/>
      <c r="BG298" s="168"/>
      <c r="BH298" s="175"/>
      <c r="BI298" s="127"/>
      <c r="BJ298" s="176"/>
      <c r="BK298" s="184"/>
      <c r="BL298" s="130"/>
      <c r="BM298" s="185"/>
      <c r="BN298" s="69"/>
      <c r="BO298" s="85"/>
      <c r="BP298" s="85"/>
      <c r="BQ298" s="85"/>
      <c r="BR298" s="85"/>
      <c r="BS298" s="85"/>
      <c r="BT298" s="85"/>
      <c r="BU298" s="87"/>
      <c r="BV298" s="87"/>
      <c r="BW298" s="87"/>
      <c r="BX298" s="87"/>
      <c r="BY298" s="87"/>
      <c r="BZ298" s="87"/>
      <c r="CA298" s="90"/>
      <c r="CB298" s="90"/>
      <c r="CC298" s="90"/>
      <c r="CD298" s="90"/>
      <c r="CE298" s="90"/>
      <c r="CF298" s="90"/>
      <c r="CG298" s="85"/>
      <c r="CH298" s="85"/>
      <c r="CI298" s="85"/>
      <c r="CJ298" s="85"/>
      <c r="CK298" s="85"/>
      <c r="CL298" s="87"/>
      <c r="CM298" s="87"/>
      <c r="CN298" s="87"/>
      <c r="CO298" s="87"/>
      <c r="CP298" s="90"/>
      <c r="CQ298" s="90"/>
      <c r="CR298" s="90"/>
      <c r="CS298" s="90"/>
      <c r="CT298" s="85"/>
      <c r="CU298" s="85"/>
      <c r="CV298" s="85"/>
      <c r="CW298" s="85"/>
      <c r="CX298" s="85"/>
      <c r="CY298" s="85"/>
      <c r="CZ298" s="85"/>
      <c r="DA298" s="33">
        <f t="shared" si="4"/>
        <v>0</v>
      </c>
    </row>
    <row r="299" spans="36:105" ht="19" x14ac:dyDescent="0.25">
      <c r="AJ299" s="63"/>
      <c r="AK299" s="20"/>
      <c r="AL299" s="21"/>
      <c r="AM299" s="22"/>
      <c r="AN299" s="23"/>
      <c r="AO299" s="24"/>
      <c r="AP299" s="25"/>
      <c r="AQ299" s="26"/>
      <c r="AR299" s="27"/>
      <c r="AS299" s="192"/>
      <c r="AT299" s="111"/>
      <c r="AU299" s="193"/>
      <c r="AV299" s="140"/>
      <c r="AW299" s="118"/>
      <c r="AX299" s="141"/>
      <c r="AY299" s="149"/>
      <c r="AZ299" s="121"/>
      <c r="BA299" s="150"/>
      <c r="BB299" s="158"/>
      <c r="BC299" s="124"/>
      <c r="BD299" s="159"/>
      <c r="BE299" s="167"/>
      <c r="BF299" s="85"/>
      <c r="BG299" s="168"/>
      <c r="BH299" s="175"/>
      <c r="BI299" s="127"/>
      <c r="BJ299" s="176"/>
      <c r="BK299" s="184"/>
      <c r="BL299" s="130"/>
      <c r="BM299" s="185"/>
      <c r="BN299" s="69"/>
      <c r="BO299" s="85"/>
      <c r="BP299" s="85"/>
      <c r="BQ299" s="85"/>
      <c r="BR299" s="85"/>
      <c r="BS299" s="85"/>
      <c r="BT299" s="85"/>
      <c r="BU299" s="87"/>
      <c r="BV299" s="87"/>
      <c r="BW299" s="87"/>
      <c r="BX299" s="87"/>
      <c r="BY299" s="87"/>
      <c r="BZ299" s="87"/>
      <c r="CA299" s="90"/>
      <c r="CB299" s="90"/>
      <c r="CC299" s="90"/>
      <c r="CD299" s="90"/>
      <c r="CE299" s="90"/>
      <c r="CF299" s="90"/>
      <c r="CG299" s="85"/>
      <c r="CH299" s="85"/>
      <c r="CI299" s="85"/>
      <c r="CJ299" s="85"/>
      <c r="CK299" s="85"/>
      <c r="CL299" s="87"/>
      <c r="CM299" s="87"/>
      <c r="CN299" s="87"/>
      <c r="CO299" s="87"/>
      <c r="CP299" s="90"/>
      <c r="CQ299" s="90"/>
      <c r="CR299" s="90"/>
      <c r="CS299" s="90"/>
      <c r="CT299" s="85"/>
      <c r="CU299" s="85"/>
      <c r="CV299" s="85"/>
      <c r="CW299" s="85"/>
      <c r="CX299" s="85"/>
      <c r="CY299" s="85"/>
      <c r="CZ299" s="85"/>
      <c r="DA299" s="33">
        <f t="shared" si="4"/>
        <v>0</v>
      </c>
    </row>
    <row r="300" spans="36:105" ht="19" x14ac:dyDescent="0.25">
      <c r="AJ300" s="63"/>
      <c r="AK300" s="20"/>
      <c r="AL300" s="21"/>
      <c r="AM300" s="22"/>
      <c r="AN300" s="23"/>
      <c r="AO300" s="24"/>
      <c r="AP300" s="25"/>
      <c r="AQ300" s="26"/>
      <c r="AR300" s="27"/>
      <c r="AS300" s="192"/>
      <c r="AT300" s="111"/>
      <c r="AU300" s="193"/>
      <c r="AV300" s="140"/>
      <c r="AW300" s="118"/>
      <c r="AX300" s="141"/>
      <c r="AY300" s="149"/>
      <c r="AZ300" s="121"/>
      <c r="BA300" s="150"/>
      <c r="BB300" s="158"/>
      <c r="BC300" s="124"/>
      <c r="BD300" s="159"/>
      <c r="BE300" s="167"/>
      <c r="BF300" s="85"/>
      <c r="BG300" s="168"/>
      <c r="BH300" s="175"/>
      <c r="BI300" s="127"/>
      <c r="BJ300" s="176"/>
      <c r="BK300" s="184"/>
      <c r="BL300" s="130"/>
      <c r="BM300" s="185"/>
      <c r="BN300" s="69"/>
      <c r="BO300" s="85"/>
      <c r="BP300" s="85"/>
      <c r="BQ300" s="85"/>
      <c r="BR300" s="85"/>
      <c r="BS300" s="85"/>
      <c r="BT300" s="85"/>
      <c r="BU300" s="87"/>
      <c r="BV300" s="87"/>
      <c r="BW300" s="87"/>
      <c r="BX300" s="87"/>
      <c r="BY300" s="87"/>
      <c r="BZ300" s="87"/>
      <c r="CA300" s="90"/>
      <c r="CB300" s="90"/>
      <c r="CC300" s="90"/>
      <c r="CD300" s="90"/>
      <c r="CE300" s="90"/>
      <c r="CF300" s="90"/>
      <c r="CG300" s="85"/>
      <c r="CH300" s="85"/>
      <c r="CI300" s="85"/>
      <c r="CJ300" s="85"/>
      <c r="CK300" s="85"/>
      <c r="CL300" s="87"/>
      <c r="CM300" s="87"/>
      <c r="CN300" s="87"/>
      <c r="CO300" s="87"/>
      <c r="CP300" s="90"/>
      <c r="CQ300" s="90"/>
      <c r="CR300" s="90"/>
      <c r="CS300" s="90"/>
      <c r="CT300" s="85"/>
      <c r="CU300" s="85"/>
      <c r="CV300" s="85"/>
      <c r="CW300" s="85"/>
      <c r="CX300" s="85"/>
      <c r="CY300" s="85"/>
      <c r="CZ300" s="85"/>
      <c r="DA300" s="33">
        <f t="shared" si="4"/>
        <v>0</v>
      </c>
    </row>
    <row r="301" spans="36:105" ht="19" x14ac:dyDescent="0.25">
      <c r="AJ301" s="63"/>
      <c r="AK301" s="20"/>
      <c r="AL301" s="21"/>
      <c r="AM301" s="22"/>
      <c r="AN301" s="23"/>
      <c r="AO301" s="24"/>
      <c r="AP301" s="25"/>
      <c r="AQ301" s="26"/>
      <c r="AR301" s="27"/>
      <c r="AS301" s="192"/>
      <c r="AT301" s="111"/>
      <c r="AU301" s="193"/>
      <c r="AV301" s="140"/>
      <c r="AW301" s="118"/>
      <c r="AX301" s="141"/>
      <c r="AY301" s="149"/>
      <c r="AZ301" s="121"/>
      <c r="BA301" s="150"/>
      <c r="BB301" s="158"/>
      <c r="BC301" s="124"/>
      <c r="BD301" s="159"/>
      <c r="BE301" s="167"/>
      <c r="BF301" s="85"/>
      <c r="BG301" s="168"/>
      <c r="BH301" s="175"/>
      <c r="BI301" s="127"/>
      <c r="BJ301" s="176"/>
      <c r="BK301" s="184"/>
      <c r="BL301" s="130"/>
      <c r="BM301" s="185"/>
      <c r="BN301" s="69"/>
      <c r="BO301" s="85"/>
      <c r="BP301" s="85"/>
      <c r="BQ301" s="85"/>
      <c r="BR301" s="85"/>
      <c r="BS301" s="85"/>
      <c r="BT301" s="85"/>
      <c r="BU301" s="87"/>
      <c r="BV301" s="87"/>
      <c r="BW301" s="87"/>
      <c r="BX301" s="87"/>
      <c r="BY301" s="87"/>
      <c r="BZ301" s="87"/>
      <c r="CA301" s="90"/>
      <c r="CB301" s="90"/>
      <c r="CC301" s="90"/>
      <c r="CD301" s="90"/>
      <c r="CE301" s="90"/>
      <c r="CF301" s="90"/>
      <c r="CG301" s="85"/>
      <c r="CH301" s="85"/>
      <c r="CI301" s="85"/>
      <c r="CJ301" s="85"/>
      <c r="CK301" s="85"/>
      <c r="CL301" s="87"/>
      <c r="CM301" s="87"/>
      <c r="CN301" s="87"/>
      <c r="CO301" s="87"/>
      <c r="CP301" s="90"/>
      <c r="CQ301" s="90"/>
      <c r="CR301" s="90"/>
      <c r="CS301" s="90"/>
      <c r="CT301" s="85"/>
      <c r="CU301" s="85"/>
      <c r="CV301" s="85"/>
      <c r="CW301" s="85"/>
      <c r="CX301" s="85"/>
      <c r="CY301" s="85"/>
      <c r="CZ301" s="85"/>
      <c r="DA301" s="33">
        <f t="shared" si="4"/>
        <v>0</v>
      </c>
    </row>
    <row r="302" spans="36:105" ht="19" x14ac:dyDescent="0.25">
      <c r="AJ302" s="63"/>
      <c r="AK302" s="20"/>
      <c r="AL302" s="21"/>
      <c r="AM302" s="22"/>
      <c r="AN302" s="23"/>
      <c r="AO302" s="24"/>
      <c r="AP302" s="25"/>
      <c r="AQ302" s="26"/>
      <c r="AR302" s="27"/>
      <c r="AS302" s="192"/>
      <c r="AT302" s="111"/>
      <c r="AU302" s="193"/>
      <c r="AV302" s="140"/>
      <c r="AW302" s="118"/>
      <c r="AX302" s="141"/>
      <c r="AY302" s="149"/>
      <c r="AZ302" s="121"/>
      <c r="BA302" s="150"/>
      <c r="BB302" s="158"/>
      <c r="BC302" s="124"/>
      <c r="BD302" s="159"/>
      <c r="BE302" s="167"/>
      <c r="BF302" s="85"/>
      <c r="BG302" s="168"/>
      <c r="BH302" s="175"/>
      <c r="BI302" s="127"/>
      <c r="BJ302" s="176"/>
      <c r="BK302" s="184"/>
      <c r="BL302" s="130"/>
      <c r="BM302" s="185"/>
      <c r="BN302" s="69"/>
      <c r="BO302" s="85"/>
      <c r="BP302" s="85"/>
      <c r="BQ302" s="85"/>
      <c r="BR302" s="85"/>
      <c r="BS302" s="85"/>
      <c r="BT302" s="85"/>
      <c r="BU302" s="87"/>
      <c r="BV302" s="87"/>
      <c r="BW302" s="87"/>
      <c r="BX302" s="87"/>
      <c r="BY302" s="87"/>
      <c r="BZ302" s="87"/>
      <c r="CA302" s="90"/>
      <c r="CB302" s="90"/>
      <c r="CC302" s="90"/>
      <c r="CD302" s="90"/>
      <c r="CE302" s="90"/>
      <c r="CF302" s="90"/>
      <c r="CG302" s="85"/>
      <c r="CH302" s="85"/>
      <c r="CI302" s="85"/>
      <c r="CJ302" s="85"/>
      <c r="CK302" s="85"/>
      <c r="CL302" s="87"/>
      <c r="CM302" s="87"/>
      <c r="CN302" s="87"/>
      <c r="CO302" s="87"/>
      <c r="CP302" s="90"/>
      <c r="CQ302" s="90"/>
      <c r="CR302" s="90"/>
      <c r="CS302" s="90"/>
      <c r="CT302" s="85"/>
      <c r="CU302" s="85"/>
      <c r="CV302" s="85"/>
      <c r="CW302" s="85"/>
      <c r="CX302" s="85"/>
      <c r="CY302" s="85"/>
      <c r="CZ302" s="85"/>
      <c r="DA302" s="33">
        <f t="shared" si="4"/>
        <v>0</v>
      </c>
    </row>
    <row r="303" spans="36:105" ht="19" x14ac:dyDescent="0.25">
      <c r="AJ303" s="63"/>
      <c r="AK303" s="20"/>
      <c r="AL303" s="21"/>
      <c r="AM303" s="22"/>
      <c r="AN303" s="23"/>
      <c r="AO303" s="24"/>
      <c r="AP303" s="25"/>
      <c r="AQ303" s="26"/>
      <c r="AR303" s="27"/>
      <c r="AS303" s="192"/>
      <c r="AT303" s="111"/>
      <c r="AU303" s="193"/>
      <c r="AV303" s="140"/>
      <c r="AW303" s="118"/>
      <c r="AX303" s="141"/>
      <c r="AY303" s="149"/>
      <c r="AZ303" s="121"/>
      <c r="BA303" s="150"/>
      <c r="BB303" s="158"/>
      <c r="BC303" s="124"/>
      <c r="BD303" s="159"/>
      <c r="BE303" s="167"/>
      <c r="BF303" s="85"/>
      <c r="BG303" s="168"/>
      <c r="BH303" s="175"/>
      <c r="BI303" s="127"/>
      <c r="BJ303" s="176"/>
      <c r="BK303" s="184"/>
      <c r="BL303" s="130"/>
      <c r="BM303" s="185"/>
      <c r="BN303" s="69"/>
      <c r="BO303" s="85"/>
      <c r="BP303" s="85"/>
      <c r="BQ303" s="85"/>
      <c r="BR303" s="85"/>
      <c r="BS303" s="85"/>
      <c r="BT303" s="85"/>
      <c r="BU303" s="87"/>
      <c r="BV303" s="87"/>
      <c r="BW303" s="87"/>
      <c r="BX303" s="87"/>
      <c r="BY303" s="87"/>
      <c r="BZ303" s="87"/>
      <c r="CA303" s="90"/>
      <c r="CB303" s="90"/>
      <c r="CC303" s="90"/>
      <c r="CD303" s="90"/>
      <c r="CE303" s="90"/>
      <c r="CF303" s="90"/>
      <c r="CG303" s="85"/>
      <c r="CH303" s="85"/>
      <c r="CI303" s="85"/>
      <c r="CJ303" s="85"/>
      <c r="CK303" s="85"/>
      <c r="CL303" s="87"/>
      <c r="CM303" s="87"/>
      <c r="CN303" s="87"/>
      <c r="CO303" s="87"/>
      <c r="CP303" s="90"/>
      <c r="CQ303" s="90"/>
      <c r="CR303" s="90"/>
      <c r="CS303" s="90"/>
      <c r="CT303" s="85"/>
      <c r="CU303" s="85"/>
      <c r="CV303" s="85"/>
      <c r="CW303" s="85"/>
      <c r="CX303" s="85"/>
      <c r="CY303" s="85"/>
      <c r="CZ303" s="85"/>
      <c r="DA303" s="33">
        <f t="shared" si="4"/>
        <v>0</v>
      </c>
    </row>
    <row r="304" spans="36:105" ht="19" x14ac:dyDescent="0.25">
      <c r="AJ304" s="63"/>
      <c r="AK304" s="20"/>
      <c r="AL304" s="21"/>
      <c r="AM304" s="22"/>
      <c r="AN304" s="23"/>
      <c r="AO304" s="24"/>
      <c r="AP304" s="25"/>
      <c r="AQ304" s="26"/>
      <c r="AR304" s="27"/>
      <c r="AS304" s="192"/>
      <c r="AT304" s="111"/>
      <c r="AU304" s="193"/>
      <c r="AV304" s="140"/>
      <c r="AW304" s="118"/>
      <c r="AX304" s="141"/>
      <c r="AY304" s="149"/>
      <c r="AZ304" s="121"/>
      <c r="BA304" s="150"/>
      <c r="BB304" s="158"/>
      <c r="BC304" s="124"/>
      <c r="BD304" s="159"/>
      <c r="BE304" s="167"/>
      <c r="BF304" s="85"/>
      <c r="BG304" s="168"/>
      <c r="BH304" s="175"/>
      <c r="BI304" s="127"/>
      <c r="BJ304" s="176"/>
      <c r="BK304" s="184"/>
      <c r="BL304" s="130"/>
      <c r="BM304" s="185"/>
      <c r="BN304" s="69"/>
      <c r="BO304" s="85"/>
      <c r="BP304" s="85"/>
      <c r="BQ304" s="85"/>
      <c r="BR304" s="85"/>
      <c r="BS304" s="85"/>
      <c r="BT304" s="85"/>
      <c r="BU304" s="87"/>
      <c r="BV304" s="87"/>
      <c r="BW304" s="87"/>
      <c r="BX304" s="87"/>
      <c r="BY304" s="87"/>
      <c r="BZ304" s="87"/>
      <c r="CA304" s="90"/>
      <c r="CB304" s="90"/>
      <c r="CC304" s="90"/>
      <c r="CD304" s="90"/>
      <c r="CE304" s="90"/>
      <c r="CF304" s="90"/>
      <c r="CG304" s="85"/>
      <c r="CH304" s="85"/>
      <c r="CI304" s="85"/>
      <c r="CJ304" s="85"/>
      <c r="CK304" s="85"/>
      <c r="CL304" s="87"/>
      <c r="CM304" s="87"/>
      <c r="CN304" s="87"/>
      <c r="CO304" s="87"/>
      <c r="CP304" s="90"/>
      <c r="CQ304" s="90"/>
      <c r="CR304" s="90"/>
      <c r="CS304" s="90"/>
      <c r="CT304" s="85"/>
      <c r="CU304" s="85"/>
      <c r="CV304" s="85"/>
      <c r="CW304" s="85"/>
      <c r="CX304" s="85"/>
      <c r="CY304" s="85"/>
      <c r="CZ304" s="85"/>
      <c r="DA304" s="33">
        <f t="shared" si="4"/>
        <v>0</v>
      </c>
    </row>
    <row r="305" spans="36:105" ht="19" x14ac:dyDescent="0.25">
      <c r="AJ305" s="63"/>
      <c r="AK305" s="20"/>
      <c r="AL305" s="21"/>
      <c r="AM305" s="22"/>
      <c r="AN305" s="23"/>
      <c r="AO305" s="24"/>
      <c r="AP305" s="25"/>
      <c r="AQ305" s="26"/>
      <c r="AR305" s="27"/>
      <c r="AS305" s="192"/>
      <c r="AT305" s="111"/>
      <c r="AU305" s="193"/>
      <c r="AV305" s="140"/>
      <c r="AW305" s="118"/>
      <c r="AX305" s="141"/>
      <c r="AY305" s="149"/>
      <c r="AZ305" s="121"/>
      <c r="BA305" s="150"/>
      <c r="BB305" s="158"/>
      <c r="BC305" s="124"/>
      <c r="BD305" s="159"/>
      <c r="BE305" s="167"/>
      <c r="BF305" s="85"/>
      <c r="BG305" s="168"/>
      <c r="BH305" s="175"/>
      <c r="BI305" s="127"/>
      <c r="BJ305" s="176"/>
      <c r="BK305" s="184"/>
      <c r="BL305" s="130"/>
      <c r="BM305" s="185"/>
      <c r="BN305" s="69"/>
      <c r="BO305" s="85"/>
      <c r="BP305" s="85"/>
      <c r="BQ305" s="85"/>
      <c r="BR305" s="85"/>
      <c r="BS305" s="85"/>
      <c r="BT305" s="85"/>
      <c r="BU305" s="87"/>
      <c r="BV305" s="87"/>
      <c r="BW305" s="87"/>
      <c r="BX305" s="87"/>
      <c r="BY305" s="87"/>
      <c r="BZ305" s="87"/>
      <c r="CA305" s="90"/>
      <c r="CB305" s="90"/>
      <c r="CC305" s="90"/>
      <c r="CD305" s="90"/>
      <c r="CE305" s="90"/>
      <c r="CF305" s="90"/>
      <c r="CG305" s="85"/>
      <c r="CH305" s="85"/>
      <c r="CI305" s="85"/>
      <c r="CJ305" s="85"/>
      <c r="CK305" s="85"/>
      <c r="CL305" s="87"/>
      <c r="CM305" s="87"/>
      <c r="CN305" s="87"/>
      <c r="CO305" s="87"/>
      <c r="CP305" s="90"/>
      <c r="CQ305" s="90"/>
      <c r="CR305" s="90"/>
      <c r="CS305" s="90"/>
      <c r="CT305" s="85"/>
      <c r="CU305" s="85"/>
      <c r="CV305" s="85"/>
      <c r="CW305" s="85"/>
      <c r="CX305" s="85"/>
      <c r="CY305" s="85"/>
      <c r="CZ305" s="85"/>
      <c r="DA305" s="33">
        <f t="shared" si="4"/>
        <v>0</v>
      </c>
    </row>
    <row r="306" spans="36:105" ht="19" x14ac:dyDescent="0.25">
      <c r="AJ306" s="63"/>
      <c r="AK306" s="20"/>
      <c r="AL306" s="21"/>
      <c r="AM306" s="22"/>
      <c r="AN306" s="23"/>
      <c r="AO306" s="24"/>
      <c r="AP306" s="25"/>
      <c r="AQ306" s="26"/>
      <c r="AR306" s="27"/>
      <c r="AS306" s="192"/>
      <c r="AT306" s="111"/>
      <c r="AU306" s="193"/>
      <c r="AV306" s="140"/>
      <c r="AW306" s="118"/>
      <c r="AX306" s="141"/>
      <c r="AY306" s="149"/>
      <c r="AZ306" s="121"/>
      <c r="BA306" s="150"/>
      <c r="BB306" s="158"/>
      <c r="BC306" s="124"/>
      <c r="BD306" s="159"/>
      <c r="BE306" s="167"/>
      <c r="BF306" s="85"/>
      <c r="BG306" s="168"/>
      <c r="BH306" s="175"/>
      <c r="BI306" s="127"/>
      <c r="BJ306" s="176"/>
      <c r="BK306" s="184"/>
      <c r="BL306" s="130"/>
      <c r="BM306" s="185"/>
      <c r="BN306" s="69"/>
      <c r="BO306" s="85"/>
      <c r="BP306" s="85"/>
      <c r="BQ306" s="85"/>
      <c r="BR306" s="85"/>
      <c r="BS306" s="85"/>
      <c r="BT306" s="85"/>
      <c r="BU306" s="87"/>
      <c r="BV306" s="87"/>
      <c r="BW306" s="87"/>
      <c r="BX306" s="87"/>
      <c r="BY306" s="87"/>
      <c r="BZ306" s="87"/>
      <c r="CA306" s="90"/>
      <c r="CB306" s="90"/>
      <c r="CC306" s="90"/>
      <c r="CD306" s="90"/>
      <c r="CE306" s="90"/>
      <c r="CF306" s="90"/>
      <c r="CG306" s="85"/>
      <c r="CH306" s="85"/>
      <c r="CI306" s="85"/>
      <c r="CJ306" s="85"/>
      <c r="CK306" s="85"/>
      <c r="CL306" s="87"/>
      <c r="CM306" s="87"/>
      <c r="CN306" s="87"/>
      <c r="CO306" s="87"/>
      <c r="CP306" s="90"/>
      <c r="CQ306" s="90"/>
      <c r="CR306" s="90"/>
      <c r="CS306" s="90"/>
      <c r="CT306" s="85"/>
      <c r="CU306" s="85"/>
      <c r="CV306" s="85"/>
      <c r="CW306" s="85"/>
      <c r="CX306" s="85"/>
      <c r="CY306" s="85"/>
      <c r="CZ306" s="85"/>
      <c r="DA306" s="33">
        <f t="shared" si="4"/>
        <v>0</v>
      </c>
    </row>
    <row r="307" spans="36:105" ht="19" x14ac:dyDescent="0.25">
      <c r="AJ307" s="63"/>
      <c r="AK307" s="20"/>
      <c r="AL307" s="21"/>
      <c r="AM307" s="22"/>
      <c r="AN307" s="23"/>
      <c r="AO307" s="24"/>
      <c r="AP307" s="25"/>
      <c r="AQ307" s="26"/>
      <c r="AR307" s="27"/>
      <c r="AS307" s="192"/>
      <c r="AT307" s="111"/>
      <c r="AU307" s="193"/>
      <c r="AV307" s="140"/>
      <c r="AW307" s="118"/>
      <c r="AX307" s="141"/>
      <c r="AY307" s="149"/>
      <c r="AZ307" s="121"/>
      <c r="BA307" s="150"/>
      <c r="BB307" s="158"/>
      <c r="BC307" s="124"/>
      <c r="BD307" s="159"/>
      <c r="BE307" s="167"/>
      <c r="BF307" s="85"/>
      <c r="BG307" s="168"/>
      <c r="BH307" s="175"/>
      <c r="BI307" s="127"/>
      <c r="BJ307" s="176"/>
      <c r="BK307" s="184"/>
      <c r="BL307" s="130"/>
      <c r="BM307" s="185"/>
      <c r="BN307" s="69"/>
      <c r="BO307" s="85"/>
      <c r="BP307" s="85"/>
      <c r="BQ307" s="85"/>
      <c r="BR307" s="85"/>
      <c r="BS307" s="85"/>
      <c r="BT307" s="85"/>
      <c r="BU307" s="87"/>
      <c r="BV307" s="87"/>
      <c r="BW307" s="87"/>
      <c r="BX307" s="87"/>
      <c r="BY307" s="87"/>
      <c r="BZ307" s="87"/>
      <c r="CA307" s="90"/>
      <c r="CB307" s="90"/>
      <c r="CC307" s="90"/>
      <c r="CD307" s="90"/>
      <c r="CE307" s="90"/>
      <c r="CF307" s="90"/>
      <c r="CG307" s="85"/>
      <c r="CH307" s="85"/>
      <c r="CI307" s="85"/>
      <c r="CJ307" s="85"/>
      <c r="CK307" s="85"/>
      <c r="CL307" s="87"/>
      <c r="CM307" s="87"/>
      <c r="CN307" s="87"/>
      <c r="CO307" s="87"/>
      <c r="CP307" s="90"/>
      <c r="CQ307" s="90"/>
      <c r="CR307" s="90"/>
      <c r="CS307" s="90"/>
      <c r="CT307" s="85"/>
      <c r="CU307" s="85"/>
      <c r="CV307" s="85"/>
      <c r="CW307" s="85"/>
      <c r="CX307" s="85"/>
      <c r="CY307" s="85"/>
      <c r="CZ307" s="85"/>
      <c r="DA307" s="33">
        <f t="shared" si="4"/>
        <v>0</v>
      </c>
    </row>
    <row r="308" spans="36:105" ht="19" x14ac:dyDescent="0.25">
      <c r="AJ308" s="63"/>
      <c r="AK308" s="20"/>
      <c r="AL308" s="21"/>
      <c r="AM308" s="22"/>
      <c r="AN308" s="23"/>
      <c r="AO308" s="24"/>
      <c r="AP308" s="25"/>
      <c r="AQ308" s="26"/>
      <c r="AR308" s="27"/>
      <c r="AS308" s="192"/>
      <c r="AT308" s="111"/>
      <c r="AU308" s="193"/>
      <c r="AV308" s="140"/>
      <c r="AW308" s="118"/>
      <c r="AX308" s="141"/>
      <c r="AY308" s="149"/>
      <c r="AZ308" s="121"/>
      <c r="BA308" s="150"/>
      <c r="BB308" s="158"/>
      <c r="BC308" s="124"/>
      <c r="BD308" s="159"/>
      <c r="BE308" s="167"/>
      <c r="BF308" s="85"/>
      <c r="BG308" s="168"/>
      <c r="BH308" s="175"/>
      <c r="BI308" s="127"/>
      <c r="BJ308" s="176"/>
      <c r="BK308" s="184"/>
      <c r="BL308" s="130"/>
      <c r="BM308" s="185"/>
      <c r="BN308" s="69"/>
      <c r="BO308" s="85"/>
      <c r="BP308" s="85"/>
      <c r="BQ308" s="85"/>
      <c r="BR308" s="85"/>
      <c r="BS308" s="85"/>
      <c r="BT308" s="85"/>
      <c r="BU308" s="87"/>
      <c r="BV308" s="87"/>
      <c r="BW308" s="87"/>
      <c r="BX308" s="87"/>
      <c r="BY308" s="87"/>
      <c r="BZ308" s="87"/>
      <c r="CA308" s="90"/>
      <c r="CB308" s="90"/>
      <c r="CC308" s="90"/>
      <c r="CD308" s="90"/>
      <c r="CE308" s="90"/>
      <c r="CF308" s="90"/>
      <c r="CG308" s="85"/>
      <c r="CH308" s="85"/>
      <c r="CI308" s="85"/>
      <c r="CJ308" s="85"/>
      <c r="CK308" s="85"/>
      <c r="CL308" s="87"/>
      <c r="CM308" s="87"/>
      <c r="CN308" s="87"/>
      <c r="CO308" s="87"/>
      <c r="CP308" s="90"/>
      <c r="CQ308" s="90"/>
      <c r="CR308" s="90"/>
      <c r="CS308" s="90"/>
      <c r="CT308" s="85"/>
      <c r="CU308" s="85"/>
      <c r="CV308" s="85"/>
      <c r="CW308" s="85"/>
      <c r="CX308" s="85"/>
      <c r="CY308" s="85"/>
      <c r="CZ308" s="85"/>
      <c r="DA308" s="33">
        <f t="shared" si="4"/>
        <v>0</v>
      </c>
    </row>
    <row r="309" spans="36:105" ht="19" x14ac:dyDescent="0.25">
      <c r="AJ309" s="63"/>
      <c r="AK309" s="20"/>
      <c r="AL309" s="21"/>
      <c r="AM309" s="22"/>
      <c r="AN309" s="23"/>
      <c r="AO309" s="24"/>
      <c r="AP309" s="25"/>
      <c r="AQ309" s="26"/>
      <c r="AR309" s="27"/>
      <c r="AS309" s="192"/>
      <c r="AT309" s="111"/>
      <c r="AU309" s="193"/>
      <c r="AV309" s="140"/>
      <c r="AW309" s="118"/>
      <c r="AX309" s="141"/>
      <c r="AY309" s="149"/>
      <c r="AZ309" s="121"/>
      <c r="BA309" s="150"/>
      <c r="BB309" s="158"/>
      <c r="BC309" s="124"/>
      <c r="BD309" s="159"/>
      <c r="BE309" s="167"/>
      <c r="BF309" s="85"/>
      <c r="BG309" s="168"/>
      <c r="BH309" s="175"/>
      <c r="BI309" s="127"/>
      <c r="BJ309" s="176"/>
      <c r="BK309" s="184"/>
      <c r="BL309" s="130"/>
      <c r="BM309" s="185"/>
      <c r="BN309" s="69"/>
      <c r="BO309" s="85"/>
      <c r="BP309" s="85"/>
      <c r="BQ309" s="85"/>
      <c r="BR309" s="85"/>
      <c r="BS309" s="85"/>
      <c r="BT309" s="85"/>
      <c r="BU309" s="87"/>
      <c r="BV309" s="87"/>
      <c r="BW309" s="87"/>
      <c r="BX309" s="87"/>
      <c r="BY309" s="87"/>
      <c r="BZ309" s="87"/>
      <c r="CA309" s="90"/>
      <c r="CB309" s="90"/>
      <c r="CC309" s="90"/>
      <c r="CD309" s="90"/>
      <c r="CE309" s="90"/>
      <c r="CF309" s="90"/>
      <c r="CG309" s="85"/>
      <c r="CH309" s="85"/>
      <c r="CI309" s="85"/>
      <c r="CJ309" s="85"/>
      <c r="CK309" s="85"/>
      <c r="CL309" s="87"/>
      <c r="CM309" s="87"/>
      <c r="CN309" s="87"/>
      <c r="CO309" s="87"/>
      <c r="CP309" s="90"/>
      <c r="CQ309" s="90"/>
      <c r="CR309" s="90"/>
      <c r="CS309" s="90"/>
      <c r="CT309" s="85"/>
      <c r="CU309" s="85"/>
      <c r="CV309" s="85"/>
      <c r="CW309" s="85"/>
      <c r="CX309" s="85"/>
      <c r="CY309" s="85"/>
      <c r="CZ309" s="85"/>
      <c r="DA309" s="33">
        <f t="shared" si="4"/>
        <v>0</v>
      </c>
    </row>
    <row r="310" spans="36:105" ht="19" x14ac:dyDescent="0.25">
      <c r="AJ310" s="63"/>
      <c r="AK310" s="20"/>
      <c r="AL310" s="21"/>
      <c r="AM310" s="22"/>
      <c r="AN310" s="23"/>
      <c r="AO310" s="24"/>
      <c r="AP310" s="25"/>
      <c r="AQ310" s="26"/>
      <c r="AR310" s="27"/>
      <c r="AS310" s="192"/>
      <c r="AT310" s="111"/>
      <c r="AU310" s="193"/>
      <c r="AV310" s="140"/>
      <c r="AW310" s="118"/>
      <c r="AX310" s="141"/>
      <c r="AY310" s="149"/>
      <c r="AZ310" s="121"/>
      <c r="BA310" s="150"/>
      <c r="BB310" s="158"/>
      <c r="BC310" s="124"/>
      <c r="BD310" s="159"/>
      <c r="BE310" s="167"/>
      <c r="BF310" s="85"/>
      <c r="BG310" s="168"/>
      <c r="BH310" s="175"/>
      <c r="BI310" s="127"/>
      <c r="BJ310" s="176"/>
      <c r="BK310" s="184"/>
      <c r="BL310" s="130"/>
      <c r="BM310" s="185"/>
      <c r="BN310" s="69"/>
      <c r="BO310" s="85"/>
      <c r="BP310" s="85"/>
      <c r="BQ310" s="85"/>
      <c r="BR310" s="85"/>
      <c r="BS310" s="85"/>
      <c r="BT310" s="85"/>
      <c r="BU310" s="87"/>
      <c r="BV310" s="87"/>
      <c r="BW310" s="87"/>
      <c r="BX310" s="87"/>
      <c r="BY310" s="87"/>
      <c r="BZ310" s="87"/>
      <c r="CA310" s="90"/>
      <c r="CB310" s="90"/>
      <c r="CC310" s="90"/>
      <c r="CD310" s="90"/>
      <c r="CE310" s="90"/>
      <c r="CF310" s="90"/>
      <c r="CG310" s="85"/>
      <c r="CH310" s="85"/>
      <c r="CI310" s="85"/>
      <c r="CJ310" s="85"/>
      <c r="CK310" s="85"/>
      <c r="CL310" s="87"/>
      <c r="CM310" s="87"/>
      <c r="CN310" s="87"/>
      <c r="CO310" s="87"/>
      <c r="CP310" s="90"/>
      <c r="CQ310" s="90"/>
      <c r="CR310" s="90"/>
      <c r="CS310" s="90"/>
      <c r="CT310" s="85"/>
      <c r="CU310" s="85"/>
      <c r="CV310" s="85"/>
      <c r="CW310" s="85"/>
      <c r="CX310" s="85"/>
      <c r="CY310" s="85"/>
      <c r="CZ310" s="85"/>
      <c r="DA310" s="33">
        <f t="shared" si="4"/>
        <v>0</v>
      </c>
    </row>
    <row r="311" spans="36:105" ht="19" x14ac:dyDescent="0.25">
      <c r="AJ311" s="63"/>
      <c r="AK311" s="20"/>
      <c r="AL311" s="21"/>
      <c r="AM311" s="22"/>
      <c r="AN311" s="23"/>
      <c r="AO311" s="24"/>
      <c r="AP311" s="25"/>
      <c r="AQ311" s="26"/>
      <c r="AR311" s="27"/>
      <c r="AS311" s="192"/>
      <c r="AT311" s="111"/>
      <c r="AU311" s="193"/>
      <c r="AV311" s="140"/>
      <c r="AW311" s="118"/>
      <c r="AX311" s="141"/>
      <c r="AY311" s="149"/>
      <c r="AZ311" s="121"/>
      <c r="BA311" s="150"/>
      <c r="BB311" s="158"/>
      <c r="BC311" s="124"/>
      <c r="BD311" s="159"/>
      <c r="BE311" s="167"/>
      <c r="BF311" s="85"/>
      <c r="BG311" s="168"/>
      <c r="BH311" s="175"/>
      <c r="BI311" s="127"/>
      <c r="BJ311" s="176"/>
      <c r="BK311" s="184"/>
      <c r="BL311" s="130"/>
      <c r="BM311" s="185"/>
      <c r="BN311" s="69"/>
      <c r="BO311" s="85"/>
      <c r="BP311" s="85"/>
      <c r="BQ311" s="85"/>
      <c r="BR311" s="85"/>
      <c r="BS311" s="85"/>
      <c r="BT311" s="85"/>
      <c r="BU311" s="87"/>
      <c r="BV311" s="87"/>
      <c r="BW311" s="87"/>
      <c r="BX311" s="87"/>
      <c r="BY311" s="87"/>
      <c r="BZ311" s="87"/>
      <c r="CA311" s="90"/>
      <c r="CB311" s="90"/>
      <c r="CC311" s="90"/>
      <c r="CD311" s="90"/>
      <c r="CE311" s="90"/>
      <c r="CF311" s="90"/>
      <c r="CG311" s="85"/>
      <c r="CH311" s="85"/>
      <c r="CI311" s="85"/>
      <c r="CJ311" s="85"/>
      <c r="CK311" s="85"/>
      <c r="CL311" s="87"/>
      <c r="CM311" s="87"/>
      <c r="CN311" s="87"/>
      <c r="CO311" s="87"/>
      <c r="CP311" s="90"/>
      <c r="CQ311" s="90"/>
      <c r="CR311" s="90"/>
      <c r="CS311" s="90"/>
      <c r="CT311" s="85"/>
      <c r="CU311" s="85"/>
      <c r="CV311" s="85"/>
      <c r="CW311" s="85"/>
      <c r="CX311" s="85"/>
      <c r="CY311" s="85"/>
      <c r="CZ311" s="85"/>
      <c r="DA311" s="33">
        <f t="shared" si="4"/>
        <v>0</v>
      </c>
    </row>
    <row r="312" spans="36:105" ht="19" x14ac:dyDescent="0.25">
      <c r="AJ312" s="63"/>
      <c r="AK312" s="20"/>
      <c r="AL312" s="21"/>
      <c r="AM312" s="22"/>
      <c r="AN312" s="23"/>
      <c r="AO312" s="24"/>
      <c r="AP312" s="25"/>
      <c r="AQ312" s="26"/>
      <c r="AR312" s="27"/>
      <c r="AS312" s="192"/>
      <c r="AT312" s="111"/>
      <c r="AU312" s="193"/>
      <c r="AV312" s="140"/>
      <c r="AW312" s="118"/>
      <c r="AX312" s="141"/>
      <c r="AY312" s="149"/>
      <c r="AZ312" s="121"/>
      <c r="BA312" s="150"/>
      <c r="BB312" s="158"/>
      <c r="BC312" s="124"/>
      <c r="BD312" s="159"/>
      <c r="BE312" s="167"/>
      <c r="BF312" s="85"/>
      <c r="BG312" s="168"/>
      <c r="BH312" s="175"/>
      <c r="BI312" s="127"/>
      <c r="BJ312" s="176"/>
      <c r="BK312" s="184"/>
      <c r="BL312" s="130"/>
      <c r="BM312" s="185"/>
      <c r="BN312" s="69"/>
      <c r="BO312" s="85"/>
      <c r="BP312" s="85"/>
      <c r="BQ312" s="85"/>
      <c r="BR312" s="85"/>
      <c r="BS312" s="85"/>
      <c r="BT312" s="85"/>
      <c r="BU312" s="87"/>
      <c r="BV312" s="87"/>
      <c r="BW312" s="87"/>
      <c r="BX312" s="87"/>
      <c r="BY312" s="87"/>
      <c r="BZ312" s="87"/>
      <c r="CA312" s="90"/>
      <c r="CB312" s="90"/>
      <c r="CC312" s="90"/>
      <c r="CD312" s="90"/>
      <c r="CE312" s="90"/>
      <c r="CF312" s="90"/>
      <c r="CG312" s="85"/>
      <c r="CH312" s="85"/>
      <c r="CI312" s="85"/>
      <c r="CJ312" s="85"/>
      <c r="CK312" s="85"/>
      <c r="CL312" s="87"/>
      <c r="CM312" s="87"/>
      <c r="CN312" s="87"/>
      <c r="CO312" s="87"/>
      <c r="CP312" s="90"/>
      <c r="CQ312" s="90"/>
      <c r="CR312" s="90"/>
      <c r="CS312" s="90"/>
      <c r="CT312" s="85"/>
      <c r="CU312" s="85"/>
      <c r="CV312" s="85"/>
      <c r="CW312" s="85"/>
      <c r="CX312" s="85"/>
      <c r="CY312" s="85"/>
      <c r="CZ312" s="85"/>
      <c r="DA312" s="33">
        <f t="shared" si="4"/>
        <v>0</v>
      </c>
    </row>
    <row r="313" spans="36:105" ht="19" x14ac:dyDescent="0.25">
      <c r="AJ313" s="63"/>
      <c r="AK313" s="20"/>
      <c r="AL313" s="21"/>
      <c r="AM313" s="22"/>
      <c r="AN313" s="23"/>
      <c r="AO313" s="24"/>
      <c r="AP313" s="25"/>
      <c r="AQ313" s="26"/>
      <c r="AR313" s="27"/>
      <c r="AS313" s="192"/>
      <c r="AT313" s="111"/>
      <c r="AU313" s="193"/>
      <c r="AV313" s="140"/>
      <c r="AW313" s="118"/>
      <c r="AX313" s="141"/>
      <c r="AY313" s="149"/>
      <c r="AZ313" s="121"/>
      <c r="BA313" s="150"/>
      <c r="BB313" s="158"/>
      <c r="BC313" s="124"/>
      <c r="BD313" s="159"/>
      <c r="BE313" s="167"/>
      <c r="BF313" s="85"/>
      <c r="BG313" s="168"/>
      <c r="BH313" s="175"/>
      <c r="BI313" s="127"/>
      <c r="BJ313" s="176"/>
      <c r="BK313" s="184"/>
      <c r="BL313" s="130"/>
      <c r="BM313" s="185"/>
      <c r="BN313" s="69"/>
      <c r="BO313" s="85"/>
      <c r="BP313" s="85"/>
      <c r="BQ313" s="85"/>
      <c r="BR313" s="85"/>
      <c r="BS313" s="85"/>
      <c r="BT313" s="85"/>
      <c r="BU313" s="87"/>
      <c r="BV313" s="87"/>
      <c r="BW313" s="87"/>
      <c r="BX313" s="87"/>
      <c r="BY313" s="87"/>
      <c r="BZ313" s="87"/>
      <c r="CA313" s="90"/>
      <c r="CB313" s="90"/>
      <c r="CC313" s="90"/>
      <c r="CD313" s="90"/>
      <c r="CE313" s="90"/>
      <c r="CF313" s="90"/>
      <c r="CG313" s="85"/>
      <c r="CH313" s="85"/>
      <c r="CI313" s="85"/>
      <c r="CJ313" s="85"/>
      <c r="CK313" s="85"/>
      <c r="CL313" s="87"/>
      <c r="CM313" s="87"/>
      <c r="CN313" s="87"/>
      <c r="CO313" s="87"/>
      <c r="CP313" s="90"/>
      <c r="CQ313" s="90"/>
      <c r="CR313" s="90"/>
      <c r="CS313" s="90"/>
      <c r="CT313" s="85"/>
      <c r="CU313" s="85"/>
      <c r="CV313" s="85"/>
      <c r="CW313" s="85"/>
      <c r="CX313" s="85"/>
      <c r="CY313" s="85"/>
      <c r="CZ313" s="85"/>
      <c r="DA313" s="33">
        <f t="shared" si="4"/>
        <v>0</v>
      </c>
    </row>
    <row r="314" spans="36:105" ht="19" x14ac:dyDescent="0.25">
      <c r="AJ314" s="63"/>
      <c r="AK314" s="20"/>
      <c r="AL314" s="21"/>
      <c r="AM314" s="22"/>
      <c r="AN314" s="23"/>
      <c r="AO314" s="24"/>
      <c r="AP314" s="25"/>
      <c r="AQ314" s="26"/>
      <c r="AR314" s="27"/>
      <c r="AS314" s="192"/>
      <c r="AT314" s="111"/>
      <c r="AU314" s="193"/>
      <c r="AV314" s="140"/>
      <c r="AW314" s="118"/>
      <c r="AX314" s="141"/>
      <c r="AY314" s="149"/>
      <c r="AZ314" s="121"/>
      <c r="BA314" s="150"/>
      <c r="BB314" s="158"/>
      <c r="BC314" s="124"/>
      <c r="BD314" s="159"/>
      <c r="BE314" s="167"/>
      <c r="BF314" s="85"/>
      <c r="BG314" s="168"/>
      <c r="BH314" s="175"/>
      <c r="BI314" s="127"/>
      <c r="BJ314" s="176"/>
      <c r="BK314" s="184"/>
      <c r="BL314" s="130"/>
      <c r="BM314" s="185"/>
      <c r="BN314" s="69"/>
      <c r="BO314" s="85"/>
      <c r="BP314" s="85"/>
      <c r="BQ314" s="85"/>
      <c r="BR314" s="85"/>
      <c r="BS314" s="85"/>
      <c r="BT314" s="85"/>
      <c r="BU314" s="87"/>
      <c r="BV314" s="87"/>
      <c r="BW314" s="87"/>
      <c r="BX314" s="87"/>
      <c r="BY314" s="87"/>
      <c r="BZ314" s="87"/>
      <c r="CA314" s="90"/>
      <c r="CB314" s="90"/>
      <c r="CC314" s="90"/>
      <c r="CD314" s="90"/>
      <c r="CE314" s="90"/>
      <c r="CF314" s="90"/>
      <c r="CG314" s="85"/>
      <c r="CH314" s="85"/>
      <c r="CI314" s="85"/>
      <c r="CJ314" s="85"/>
      <c r="CK314" s="85"/>
      <c r="CL314" s="87"/>
      <c r="CM314" s="87"/>
      <c r="CN314" s="87"/>
      <c r="CO314" s="87"/>
      <c r="CP314" s="90"/>
      <c r="CQ314" s="90"/>
      <c r="CR314" s="90"/>
      <c r="CS314" s="90"/>
      <c r="CT314" s="85"/>
      <c r="CU314" s="85"/>
      <c r="CV314" s="85"/>
      <c r="CW314" s="85"/>
      <c r="CX314" s="85"/>
      <c r="CY314" s="85"/>
      <c r="CZ314" s="85"/>
      <c r="DA314" s="33">
        <f t="shared" si="4"/>
        <v>0</v>
      </c>
    </row>
    <row r="315" spans="36:105" ht="19" x14ac:dyDescent="0.25">
      <c r="AJ315" s="63"/>
      <c r="AK315" s="20"/>
      <c r="AL315" s="21"/>
      <c r="AM315" s="22"/>
      <c r="AN315" s="23"/>
      <c r="AO315" s="24"/>
      <c r="AP315" s="25"/>
      <c r="AQ315" s="26"/>
      <c r="AR315" s="27"/>
      <c r="AS315" s="192"/>
      <c r="AT315" s="111"/>
      <c r="AU315" s="193"/>
      <c r="AV315" s="140"/>
      <c r="AW315" s="118"/>
      <c r="AX315" s="141"/>
      <c r="AY315" s="149"/>
      <c r="AZ315" s="121"/>
      <c r="BA315" s="150"/>
      <c r="BB315" s="158"/>
      <c r="BC315" s="124"/>
      <c r="BD315" s="159"/>
      <c r="BE315" s="167"/>
      <c r="BF315" s="85"/>
      <c r="BG315" s="168"/>
      <c r="BH315" s="175"/>
      <c r="BI315" s="127"/>
      <c r="BJ315" s="176"/>
      <c r="BK315" s="184"/>
      <c r="BL315" s="130"/>
      <c r="BM315" s="185"/>
      <c r="BN315" s="69"/>
      <c r="BO315" s="85"/>
      <c r="BP315" s="85"/>
      <c r="BQ315" s="85"/>
      <c r="BR315" s="85"/>
      <c r="BS315" s="85"/>
      <c r="BT315" s="85"/>
      <c r="BU315" s="87"/>
      <c r="BV315" s="87"/>
      <c r="BW315" s="87"/>
      <c r="BX315" s="87"/>
      <c r="BY315" s="87"/>
      <c r="BZ315" s="87"/>
      <c r="CA315" s="90"/>
      <c r="CB315" s="90"/>
      <c r="CC315" s="90"/>
      <c r="CD315" s="90"/>
      <c r="CE315" s="90"/>
      <c r="CF315" s="90"/>
      <c r="CG315" s="85"/>
      <c r="CH315" s="85"/>
      <c r="CI315" s="85"/>
      <c r="CJ315" s="85"/>
      <c r="CK315" s="85"/>
      <c r="CL315" s="87"/>
      <c r="CM315" s="87"/>
      <c r="CN315" s="87"/>
      <c r="CO315" s="87"/>
      <c r="CP315" s="90"/>
      <c r="CQ315" s="90"/>
      <c r="CR315" s="90"/>
      <c r="CS315" s="90"/>
      <c r="CT315" s="85"/>
      <c r="CU315" s="85"/>
      <c r="CV315" s="85"/>
      <c r="CW315" s="85"/>
      <c r="CX315" s="85"/>
      <c r="CY315" s="85"/>
      <c r="CZ315" s="85"/>
      <c r="DA315" s="33">
        <f t="shared" si="4"/>
        <v>0</v>
      </c>
    </row>
    <row r="316" spans="36:105" ht="19" x14ac:dyDescent="0.25">
      <c r="AJ316" s="63"/>
      <c r="AK316" s="20"/>
      <c r="AL316" s="21"/>
      <c r="AM316" s="22"/>
      <c r="AN316" s="23"/>
      <c r="AO316" s="24"/>
      <c r="AP316" s="25"/>
      <c r="AQ316" s="26"/>
      <c r="AR316" s="27"/>
      <c r="AS316" s="192"/>
      <c r="AT316" s="111"/>
      <c r="AU316" s="193"/>
      <c r="AV316" s="140"/>
      <c r="AW316" s="118"/>
      <c r="AX316" s="141"/>
      <c r="AY316" s="149"/>
      <c r="AZ316" s="121"/>
      <c r="BA316" s="150"/>
      <c r="BB316" s="158"/>
      <c r="BC316" s="124"/>
      <c r="BD316" s="159"/>
      <c r="BE316" s="167"/>
      <c r="BF316" s="85"/>
      <c r="BG316" s="168"/>
      <c r="BH316" s="175"/>
      <c r="BI316" s="127"/>
      <c r="BJ316" s="176"/>
      <c r="BK316" s="184"/>
      <c r="BL316" s="130"/>
      <c r="BM316" s="185"/>
      <c r="BN316" s="69"/>
      <c r="BO316" s="85"/>
      <c r="BP316" s="85"/>
      <c r="BQ316" s="85"/>
      <c r="BR316" s="85"/>
      <c r="BS316" s="85"/>
      <c r="BT316" s="85"/>
      <c r="BU316" s="87"/>
      <c r="BV316" s="87"/>
      <c r="BW316" s="87"/>
      <c r="BX316" s="87"/>
      <c r="BY316" s="87"/>
      <c r="BZ316" s="87"/>
      <c r="CA316" s="90"/>
      <c r="CB316" s="90"/>
      <c r="CC316" s="90"/>
      <c r="CD316" s="90"/>
      <c r="CE316" s="90"/>
      <c r="CF316" s="90"/>
      <c r="CG316" s="85"/>
      <c r="CH316" s="85"/>
      <c r="CI316" s="85"/>
      <c r="CJ316" s="85"/>
      <c r="CK316" s="85"/>
      <c r="CL316" s="87"/>
      <c r="CM316" s="87"/>
      <c r="CN316" s="87"/>
      <c r="CO316" s="87"/>
      <c r="CP316" s="90"/>
      <c r="CQ316" s="90"/>
      <c r="CR316" s="90"/>
      <c r="CS316" s="90"/>
      <c r="CT316" s="85"/>
      <c r="CU316" s="85"/>
      <c r="CV316" s="85"/>
      <c r="CW316" s="85"/>
      <c r="CX316" s="85"/>
      <c r="CY316" s="85"/>
      <c r="CZ316" s="85"/>
      <c r="DA316" s="33">
        <f t="shared" si="4"/>
        <v>0</v>
      </c>
    </row>
    <row r="317" spans="36:105" ht="19" x14ac:dyDescent="0.25">
      <c r="AJ317" s="63"/>
      <c r="AK317" s="20"/>
      <c r="AL317" s="21"/>
      <c r="AM317" s="22"/>
      <c r="AN317" s="23"/>
      <c r="AO317" s="24"/>
      <c r="AP317" s="25"/>
      <c r="AQ317" s="26"/>
      <c r="AR317" s="27"/>
      <c r="AS317" s="192"/>
      <c r="AT317" s="111"/>
      <c r="AU317" s="193"/>
      <c r="AV317" s="140"/>
      <c r="AW317" s="118"/>
      <c r="AX317" s="141"/>
      <c r="AY317" s="149"/>
      <c r="AZ317" s="121"/>
      <c r="BA317" s="150"/>
      <c r="BB317" s="158"/>
      <c r="BC317" s="124"/>
      <c r="BD317" s="159"/>
      <c r="BE317" s="167"/>
      <c r="BF317" s="85"/>
      <c r="BG317" s="168"/>
      <c r="BH317" s="175"/>
      <c r="BI317" s="127"/>
      <c r="BJ317" s="176"/>
      <c r="BK317" s="184"/>
      <c r="BL317" s="130"/>
      <c r="BM317" s="185"/>
      <c r="BN317" s="69"/>
      <c r="BO317" s="85"/>
      <c r="BP317" s="85"/>
      <c r="BQ317" s="85"/>
      <c r="BR317" s="85"/>
      <c r="BS317" s="85"/>
      <c r="BT317" s="85"/>
      <c r="BU317" s="87"/>
      <c r="BV317" s="87"/>
      <c r="BW317" s="87"/>
      <c r="BX317" s="87"/>
      <c r="BY317" s="87"/>
      <c r="BZ317" s="87"/>
      <c r="CA317" s="90"/>
      <c r="CB317" s="90"/>
      <c r="CC317" s="90"/>
      <c r="CD317" s="90"/>
      <c r="CE317" s="90"/>
      <c r="CF317" s="90"/>
      <c r="CG317" s="85"/>
      <c r="CH317" s="85"/>
      <c r="CI317" s="85"/>
      <c r="CJ317" s="85"/>
      <c r="CK317" s="85"/>
      <c r="CL317" s="87"/>
      <c r="CM317" s="87"/>
      <c r="CN317" s="87"/>
      <c r="CO317" s="87"/>
      <c r="CP317" s="90"/>
      <c r="CQ317" s="90"/>
      <c r="CR317" s="90"/>
      <c r="CS317" s="90"/>
      <c r="CT317" s="85"/>
      <c r="CU317" s="85"/>
      <c r="CV317" s="85"/>
      <c r="CW317" s="85"/>
      <c r="CX317" s="85"/>
      <c r="CY317" s="85"/>
      <c r="CZ317" s="85"/>
      <c r="DA317" s="33">
        <f t="shared" si="4"/>
        <v>0</v>
      </c>
    </row>
    <row r="318" spans="36:105" ht="19" x14ac:dyDescent="0.25">
      <c r="AJ318" s="63"/>
      <c r="AK318" s="20"/>
      <c r="AL318" s="21"/>
      <c r="AM318" s="22"/>
      <c r="AN318" s="23"/>
      <c r="AO318" s="24"/>
      <c r="AP318" s="25"/>
      <c r="AQ318" s="26"/>
      <c r="AR318" s="27"/>
      <c r="AS318" s="192"/>
      <c r="AT318" s="111"/>
      <c r="AU318" s="193"/>
      <c r="AV318" s="140"/>
      <c r="AW318" s="118"/>
      <c r="AX318" s="141"/>
      <c r="AY318" s="149"/>
      <c r="AZ318" s="121"/>
      <c r="BA318" s="150"/>
      <c r="BB318" s="158"/>
      <c r="BC318" s="124"/>
      <c r="BD318" s="159"/>
      <c r="BE318" s="167"/>
      <c r="BF318" s="85"/>
      <c r="BG318" s="168"/>
      <c r="BH318" s="175"/>
      <c r="BI318" s="127"/>
      <c r="BJ318" s="176"/>
      <c r="BK318" s="184"/>
      <c r="BL318" s="130"/>
      <c r="BM318" s="185"/>
      <c r="BN318" s="69"/>
      <c r="BO318" s="85"/>
      <c r="BP318" s="85"/>
      <c r="BQ318" s="85"/>
      <c r="BR318" s="85"/>
      <c r="BS318" s="85"/>
      <c r="BT318" s="85"/>
      <c r="BU318" s="87"/>
      <c r="BV318" s="87"/>
      <c r="BW318" s="87"/>
      <c r="BX318" s="87"/>
      <c r="BY318" s="87"/>
      <c r="BZ318" s="87"/>
      <c r="CA318" s="90"/>
      <c r="CB318" s="90"/>
      <c r="CC318" s="90"/>
      <c r="CD318" s="90"/>
      <c r="CE318" s="90"/>
      <c r="CF318" s="90"/>
      <c r="CG318" s="85"/>
      <c r="CH318" s="85"/>
      <c r="CI318" s="85"/>
      <c r="CJ318" s="85"/>
      <c r="CK318" s="85"/>
      <c r="CL318" s="87"/>
      <c r="CM318" s="87"/>
      <c r="CN318" s="87"/>
      <c r="CO318" s="87"/>
      <c r="CP318" s="90"/>
      <c r="CQ318" s="90"/>
      <c r="CR318" s="90"/>
      <c r="CS318" s="90"/>
      <c r="CT318" s="85"/>
      <c r="CU318" s="85"/>
      <c r="CV318" s="85"/>
      <c r="CW318" s="85"/>
      <c r="CX318" s="85"/>
      <c r="CY318" s="85"/>
      <c r="CZ318" s="85"/>
      <c r="DA318" s="33">
        <f t="shared" si="4"/>
        <v>0</v>
      </c>
    </row>
    <row r="319" spans="36:105" ht="19" x14ac:dyDescent="0.25">
      <c r="AJ319" s="63"/>
      <c r="AK319" s="20"/>
      <c r="AL319" s="21"/>
      <c r="AM319" s="22"/>
      <c r="AN319" s="23"/>
      <c r="AO319" s="24"/>
      <c r="AP319" s="25"/>
      <c r="AQ319" s="26"/>
      <c r="AR319" s="27"/>
      <c r="AS319" s="192"/>
      <c r="AT319" s="111"/>
      <c r="AU319" s="193"/>
      <c r="AV319" s="140"/>
      <c r="AW319" s="118"/>
      <c r="AX319" s="141"/>
      <c r="AY319" s="149"/>
      <c r="AZ319" s="121"/>
      <c r="BA319" s="150"/>
      <c r="BB319" s="158"/>
      <c r="BC319" s="124"/>
      <c r="BD319" s="159"/>
      <c r="BE319" s="167"/>
      <c r="BF319" s="85"/>
      <c r="BG319" s="168"/>
      <c r="BH319" s="175"/>
      <c r="BI319" s="127"/>
      <c r="BJ319" s="176"/>
      <c r="BK319" s="184"/>
      <c r="BL319" s="130"/>
      <c r="BM319" s="185"/>
      <c r="BN319" s="69"/>
      <c r="BO319" s="85"/>
      <c r="BP319" s="85"/>
      <c r="BQ319" s="85"/>
      <c r="BR319" s="85"/>
      <c r="BS319" s="85"/>
      <c r="BT319" s="85"/>
      <c r="BU319" s="87"/>
      <c r="BV319" s="87"/>
      <c r="BW319" s="87"/>
      <c r="BX319" s="87"/>
      <c r="BY319" s="87"/>
      <c r="BZ319" s="87"/>
      <c r="CA319" s="90"/>
      <c r="CB319" s="90"/>
      <c r="CC319" s="90"/>
      <c r="CD319" s="90"/>
      <c r="CE319" s="90"/>
      <c r="CF319" s="90"/>
      <c r="CG319" s="85"/>
      <c r="CH319" s="85"/>
      <c r="CI319" s="85"/>
      <c r="CJ319" s="85"/>
      <c r="CK319" s="85"/>
      <c r="CL319" s="87"/>
      <c r="CM319" s="87"/>
      <c r="CN319" s="87"/>
      <c r="CO319" s="87"/>
      <c r="CP319" s="90"/>
      <c r="CQ319" s="90"/>
      <c r="CR319" s="90"/>
      <c r="CS319" s="90"/>
      <c r="CT319" s="85"/>
      <c r="CU319" s="85"/>
      <c r="CV319" s="85"/>
      <c r="CW319" s="85"/>
      <c r="CX319" s="85"/>
      <c r="CY319" s="85"/>
      <c r="CZ319" s="85"/>
      <c r="DA319" s="33">
        <f t="shared" si="4"/>
        <v>0</v>
      </c>
    </row>
    <row r="320" spans="36:105" ht="19" x14ac:dyDescent="0.25">
      <c r="AJ320" s="63"/>
      <c r="AK320" s="20"/>
      <c r="AL320" s="21"/>
      <c r="AM320" s="22"/>
      <c r="AN320" s="23"/>
      <c r="AO320" s="24"/>
      <c r="AP320" s="25"/>
      <c r="AQ320" s="26"/>
      <c r="AR320" s="27"/>
      <c r="AS320" s="192"/>
      <c r="AT320" s="111"/>
      <c r="AU320" s="193"/>
      <c r="AV320" s="140"/>
      <c r="AW320" s="118"/>
      <c r="AX320" s="141"/>
      <c r="AY320" s="149"/>
      <c r="AZ320" s="121"/>
      <c r="BA320" s="150"/>
      <c r="BB320" s="158"/>
      <c r="BC320" s="124"/>
      <c r="BD320" s="159"/>
      <c r="BE320" s="167"/>
      <c r="BF320" s="85"/>
      <c r="BG320" s="168"/>
      <c r="BH320" s="175"/>
      <c r="BI320" s="127"/>
      <c r="BJ320" s="176"/>
      <c r="BK320" s="184"/>
      <c r="BL320" s="130"/>
      <c r="BM320" s="185"/>
      <c r="BN320" s="69"/>
      <c r="BO320" s="85"/>
      <c r="BP320" s="85"/>
      <c r="BQ320" s="85"/>
      <c r="BR320" s="85"/>
      <c r="BS320" s="85"/>
      <c r="BT320" s="85"/>
      <c r="BU320" s="87"/>
      <c r="BV320" s="87"/>
      <c r="BW320" s="87"/>
      <c r="BX320" s="87"/>
      <c r="BY320" s="87"/>
      <c r="BZ320" s="87"/>
      <c r="CA320" s="90"/>
      <c r="CB320" s="90"/>
      <c r="CC320" s="90"/>
      <c r="CD320" s="90"/>
      <c r="CE320" s="90"/>
      <c r="CF320" s="90"/>
      <c r="CG320" s="85"/>
      <c r="CH320" s="85"/>
      <c r="CI320" s="85"/>
      <c r="CJ320" s="85"/>
      <c r="CK320" s="85"/>
      <c r="CL320" s="87"/>
      <c r="CM320" s="87"/>
      <c r="CN320" s="87"/>
      <c r="CO320" s="87"/>
      <c r="CP320" s="90"/>
      <c r="CQ320" s="90"/>
      <c r="CR320" s="90"/>
      <c r="CS320" s="90"/>
      <c r="CT320" s="85"/>
      <c r="CU320" s="85"/>
      <c r="CV320" s="85"/>
      <c r="CW320" s="85"/>
      <c r="CX320" s="85"/>
      <c r="CY320" s="85"/>
      <c r="CZ320" s="85"/>
      <c r="DA320" s="33">
        <f t="shared" si="4"/>
        <v>0</v>
      </c>
    </row>
    <row r="321" spans="36:105" ht="19" x14ac:dyDescent="0.25">
      <c r="AJ321" s="63"/>
      <c r="AK321" s="20"/>
      <c r="AL321" s="21"/>
      <c r="AM321" s="22"/>
      <c r="AN321" s="23"/>
      <c r="AO321" s="24"/>
      <c r="AP321" s="25"/>
      <c r="AQ321" s="26"/>
      <c r="AR321" s="27"/>
      <c r="AS321" s="192"/>
      <c r="AT321" s="111"/>
      <c r="AU321" s="193"/>
      <c r="AV321" s="140"/>
      <c r="AW321" s="118"/>
      <c r="AX321" s="141"/>
      <c r="AY321" s="149"/>
      <c r="AZ321" s="121"/>
      <c r="BA321" s="150"/>
      <c r="BB321" s="158"/>
      <c r="BC321" s="124"/>
      <c r="BD321" s="159"/>
      <c r="BE321" s="167"/>
      <c r="BF321" s="85"/>
      <c r="BG321" s="168"/>
      <c r="BH321" s="175"/>
      <c r="BI321" s="127"/>
      <c r="BJ321" s="176"/>
      <c r="BK321" s="184"/>
      <c r="BL321" s="130"/>
      <c r="BM321" s="185"/>
      <c r="BN321" s="69"/>
      <c r="BO321" s="85"/>
      <c r="BP321" s="85"/>
      <c r="BQ321" s="85"/>
      <c r="BR321" s="85"/>
      <c r="BS321" s="85"/>
      <c r="BT321" s="85"/>
      <c r="BU321" s="87"/>
      <c r="BV321" s="87"/>
      <c r="BW321" s="87"/>
      <c r="BX321" s="87"/>
      <c r="BY321" s="87"/>
      <c r="BZ321" s="87"/>
      <c r="CA321" s="90"/>
      <c r="CB321" s="90"/>
      <c r="CC321" s="90"/>
      <c r="CD321" s="90"/>
      <c r="CE321" s="90"/>
      <c r="CF321" s="90"/>
      <c r="CG321" s="85"/>
      <c r="CH321" s="85"/>
      <c r="CI321" s="85"/>
      <c r="CJ321" s="85"/>
      <c r="CK321" s="85"/>
      <c r="CL321" s="87"/>
      <c r="CM321" s="87"/>
      <c r="CN321" s="87"/>
      <c r="CO321" s="87"/>
      <c r="CP321" s="90"/>
      <c r="CQ321" s="90"/>
      <c r="CR321" s="90"/>
      <c r="CS321" s="90"/>
      <c r="CT321" s="85"/>
      <c r="CU321" s="85"/>
      <c r="CV321" s="85"/>
      <c r="CW321" s="85"/>
      <c r="CX321" s="85"/>
      <c r="CY321" s="85"/>
      <c r="CZ321" s="85"/>
      <c r="DA321" s="33">
        <f t="shared" si="4"/>
        <v>0</v>
      </c>
    </row>
    <row r="322" spans="36:105" ht="19" x14ac:dyDescent="0.25">
      <c r="AJ322" s="63"/>
      <c r="AK322" s="20"/>
      <c r="AL322" s="21"/>
      <c r="AM322" s="22"/>
      <c r="AN322" s="23"/>
      <c r="AO322" s="24"/>
      <c r="AP322" s="25"/>
      <c r="AQ322" s="26"/>
      <c r="AR322" s="27"/>
      <c r="AS322" s="192"/>
      <c r="AT322" s="111"/>
      <c r="AU322" s="193"/>
      <c r="AV322" s="140"/>
      <c r="AW322" s="118"/>
      <c r="AX322" s="141"/>
      <c r="AY322" s="149"/>
      <c r="AZ322" s="121"/>
      <c r="BA322" s="150"/>
      <c r="BB322" s="158"/>
      <c r="BC322" s="124"/>
      <c r="BD322" s="159"/>
      <c r="BE322" s="167"/>
      <c r="BF322" s="85"/>
      <c r="BG322" s="168"/>
      <c r="BH322" s="175"/>
      <c r="BI322" s="127"/>
      <c r="BJ322" s="176"/>
      <c r="BK322" s="184"/>
      <c r="BL322" s="130"/>
      <c r="BM322" s="185"/>
      <c r="BN322" s="69"/>
      <c r="BO322" s="85"/>
      <c r="BP322" s="85"/>
      <c r="BQ322" s="85"/>
      <c r="BR322" s="85"/>
      <c r="BS322" s="85"/>
      <c r="BT322" s="85"/>
      <c r="BU322" s="87"/>
      <c r="BV322" s="87"/>
      <c r="BW322" s="87"/>
      <c r="BX322" s="87"/>
      <c r="BY322" s="87"/>
      <c r="BZ322" s="87"/>
      <c r="CA322" s="90"/>
      <c r="CB322" s="90"/>
      <c r="CC322" s="90"/>
      <c r="CD322" s="90"/>
      <c r="CE322" s="90"/>
      <c r="CF322" s="90"/>
      <c r="CG322" s="85"/>
      <c r="CH322" s="85"/>
      <c r="CI322" s="85"/>
      <c r="CJ322" s="85"/>
      <c r="CK322" s="85"/>
      <c r="CL322" s="87"/>
      <c r="CM322" s="87"/>
      <c r="CN322" s="87"/>
      <c r="CO322" s="87"/>
      <c r="CP322" s="90"/>
      <c r="CQ322" s="90"/>
      <c r="CR322" s="90"/>
      <c r="CS322" s="90"/>
      <c r="CT322" s="85"/>
      <c r="CU322" s="85"/>
      <c r="CV322" s="85"/>
      <c r="CW322" s="85"/>
      <c r="CX322" s="85"/>
      <c r="CY322" s="85"/>
      <c r="CZ322" s="85"/>
      <c r="DA322" s="33">
        <f t="shared" si="4"/>
        <v>0</v>
      </c>
    </row>
    <row r="323" spans="36:105" ht="19" x14ac:dyDescent="0.25">
      <c r="AJ323" s="63"/>
      <c r="AK323" s="20"/>
      <c r="AL323" s="21"/>
      <c r="AM323" s="22"/>
      <c r="AN323" s="23"/>
      <c r="AO323" s="24"/>
      <c r="AP323" s="25"/>
      <c r="AQ323" s="26"/>
      <c r="AR323" s="27"/>
      <c r="AS323" s="192"/>
      <c r="AT323" s="111"/>
      <c r="AU323" s="193"/>
      <c r="AV323" s="140"/>
      <c r="AW323" s="118"/>
      <c r="AX323" s="141"/>
      <c r="AY323" s="149"/>
      <c r="AZ323" s="121"/>
      <c r="BA323" s="150"/>
      <c r="BB323" s="158"/>
      <c r="BC323" s="124"/>
      <c r="BD323" s="159"/>
      <c r="BE323" s="167"/>
      <c r="BF323" s="85"/>
      <c r="BG323" s="168"/>
      <c r="BH323" s="175"/>
      <c r="BI323" s="127"/>
      <c r="BJ323" s="176"/>
      <c r="BK323" s="184"/>
      <c r="BL323" s="130"/>
      <c r="BM323" s="185"/>
      <c r="BN323" s="69"/>
      <c r="BO323" s="85"/>
      <c r="BP323" s="85"/>
      <c r="BQ323" s="85"/>
      <c r="BR323" s="85"/>
      <c r="BS323" s="85"/>
      <c r="BT323" s="85"/>
      <c r="BU323" s="87"/>
      <c r="BV323" s="87"/>
      <c r="BW323" s="87"/>
      <c r="BX323" s="87"/>
      <c r="BY323" s="87"/>
      <c r="BZ323" s="87"/>
      <c r="CA323" s="90"/>
      <c r="CB323" s="90"/>
      <c r="CC323" s="90"/>
      <c r="CD323" s="90"/>
      <c r="CE323" s="90"/>
      <c r="CF323" s="90"/>
      <c r="CG323" s="85"/>
      <c r="CH323" s="85"/>
      <c r="CI323" s="85"/>
      <c r="CJ323" s="85"/>
      <c r="CK323" s="85"/>
      <c r="CL323" s="87"/>
      <c r="CM323" s="87"/>
      <c r="CN323" s="87"/>
      <c r="CO323" s="87"/>
      <c r="CP323" s="90"/>
      <c r="CQ323" s="90"/>
      <c r="CR323" s="90"/>
      <c r="CS323" s="90"/>
      <c r="CT323" s="85"/>
      <c r="CU323" s="85"/>
      <c r="CV323" s="85"/>
      <c r="CW323" s="85"/>
      <c r="CX323" s="85"/>
      <c r="CY323" s="85"/>
      <c r="CZ323" s="85"/>
      <c r="DA323" s="33">
        <f t="shared" si="4"/>
        <v>0</v>
      </c>
    </row>
    <row r="324" spans="36:105" ht="19" x14ac:dyDescent="0.25">
      <c r="AJ324" s="63"/>
      <c r="AK324" s="20"/>
      <c r="AL324" s="21"/>
      <c r="AM324" s="22"/>
      <c r="AN324" s="23"/>
      <c r="AO324" s="24"/>
      <c r="AP324" s="25"/>
      <c r="AQ324" s="26"/>
      <c r="AR324" s="27"/>
      <c r="AS324" s="192"/>
      <c r="AT324" s="111"/>
      <c r="AU324" s="193"/>
      <c r="AV324" s="140"/>
      <c r="AW324" s="118"/>
      <c r="AX324" s="141"/>
      <c r="AY324" s="149"/>
      <c r="AZ324" s="121"/>
      <c r="BA324" s="150"/>
      <c r="BB324" s="158"/>
      <c r="BC324" s="124"/>
      <c r="BD324" s="159"/>
      <c r="BE324" s="167"/>
      <c r="BF324" s="85"/>
      <c r="BG324" s="168"/>
      <c r="BH324" s="175"/>
      <c r="BI324" s="127"/>
      <c r="BJ324" s="176"/>
      <c r="BK324" s="184"/>
      <c r="BL324" s="130"/>
      <c r="BM324" s="185"/>
      <c r="BN324" s="69"/>
      <c r="BO324" s="85"/>
      <c r="BP324" s="85"/>
      <c r="BQ324" s="85"/>
      <c r="BR324" s="85"/>
      <c r="BS324" s="85"/>
      <c r="BT324" s="85"/>
      <c r="BU324" s="87"/>
      <c r="BV324" s="87"/>
      <c r="BW324" s="87"/>
      <c r="BX324" s="87"/>
      <c r="BY324" s="87"/>
      <c r="BZ324" s="87"/>
      <c r="CA324" s="90"/>
      <c r="CB324" s="90"/>
      <c r="CC324" s="90"/>
      <c r="CD324" s="90"/>
      <c r="CE324" s="90"/>
      <c r="CF324" s="90"/>
      <c r="CG324" s="85"/>
      <c r="CH324" s="85"/>
      <c r="CI324" s="85"/>
      <c r="CJ324" s="85"/>
      <c r="CK324" s="85"/>
      <c r="CL324" s="87"/>
      <c r="CM324" s="87"/>
      <c r="CN324" s="87"/>
      <c r="CO324" s="87"/>
      <c r="CP324" s="90"/>
      <c r="CQ324" s="90"/>
      <c r="CR324" s="90"/>
      <c r="CS324" s="90"/>
      <c r="CT324" s="85"/>
      <c r="CU324" s="85"/>
      <c r="CV324" s="85"/>
      <c r="CW324" s="85"/>
      <c r="CX324" s="85"/>
      <c r="CY324" s="85"/>
      <c r="CZ324" s="85"/>
      <c r="DA324" s="33">
        <f t="shared" si="4"/>
        <v>0</v>
      </c>
    </row>
    <row r="325" spans="36:105" ht="19" x14ac:dyDescent="0.25">
      <c r="AJ325" s="63"/>
      <c r="AK325" s="20"/>
      <c r="AL325" s="21"/>
      <c r="AM325" s="22"/>
      <c r="AN325" s="23"/>
      <c r="AO325" s="24"/>
      <c r="AP325" s="25"/>
      <c r="AQ325" s="26"/>
      <c r="AR325" s="27"/>
      <c r="AS325" s="192"/>
      <c r="AT325" s="111"/>
      <c r="AU325" s="193"/>
      <c r="AV325" s="140"/>
      <c r="AW325" s="118"/>
      <c r="AX325" s="141"/>
      <c r="AY325" s="149"/>
      <c r="AZ325" s="121"/>
      <c r="BA325" s="150"/>
      <c r="BB325" s="158"/>
      <c r="BC325" s="124"/>
      <c r="BD325" s="159"/>
      <c r="BE325" s="167"/>
      <c r="BF325" s="85"/>
      <c r="BG325" s="168"/>
      <c r="BH325" s="175"/>
      <c r="BI325" s="127"/>
      <c r="BJ325" s="176"/>
      <c r="BK325" s="184"/>
      <c r="BL325" s="130"/>
      <c r="BM325" s="185"/>
      <c r="BN325" s="69"/>
      <c r="BO325" s="85"/>
      <c r="BP325" s="85"/>
      <c r="BQ325" s="85"/>
      <c r="BR325" s="85"/>
      <c r="BS325" s="85"/>
      <c r="BT325" s="85"/>
      <c r="BU325" s="87"/>
      <c r="BV325" s="87"/>
      <c r="BW325" s="87"/>
      <c r="BX325" s="87"/>
      <c r="BY325" s="87"/>
      <c r="BZ325" s="87"/>
      <c r="CA325" s="90"/>
      <c r="CB325" s="90"/>
      <c r="CC325" s="90"/>
      <c r="CD325" s="90"/>
      <c r="CE325" s="90"/>
      <c r="CF325" s="90"/>
      <c r="CG325" s="85"/>
      <c r="CH325" s="85"/>
      <c r="CI325" s="85"/>
      <c r="CJ325" s="85"/>
      <c r="CK325" s="85"/>
      <c r="CL325" s="87"/>
      <c r="CM325" s="87"/>
      <c r="CN325" s="87"/>
      <c r="CO325" s="87"/>
      <c r="CP325" s="90"/>
      <c r="CQ325" s="90"/>
      <c r="CR325" s="90"/>
      <c r="CS325" s="90"/>
      <c r="CT325" s="85"/>
      <c r="CU325" s="85"/>
      <c r="CV325" s="85"/>
      <c r="CW325" s="85"/>
      <c r="CX325" s="85"/>
      <c r="CY325" s="85"/>
      <c r="CZ325" s="85"/>
      <c r="DA325" s="33">
        <f t="shared" si="4"/>
        <v>0</v>
      </c>
    </row>
    <row r="326" spans="36:105" ht="19" x14ac:dyDescent="0.25">
      <c r="AJ326" s="63"/>
      <c r="AK326" s="20"/>
      <c r="AL326" s="21"/>
      <c r="AM326" s="22"/>
      <c r="AN326" s="23"/>
      <c r="AO326" s="24"/>
      <c r="AP326" s="25"/>
      <c r="AQ326" s="26"/>
      <c r="AR326" s="27"/>
      <c r="AS326" s="192"/>
      <c r="AT326" s="111"/>
      <c r="AU326" s="193"/>
      <c r="AV326" s="140"/>
      <c r="AW326" s="118"/>
      <c r="AX326" s="141"/>
      <c r="AY326" s="149"/>
      <c r="AZ326" s="121"/>
      <c r="BA326" s="150"/>
      <c r="BB326" s="158"/>
      <c r="BC326" s="124"/>
      <c r="BD326" s="159"/>
      <c r="BE326" s="167"/>
      <c r="BF326" s="85"/>
      <c r="BG326" s="168"/>
      <c r="BH326" s="175"/>
      <c r="BI326" s="127"/>
      <c r="BJ326" s="176"/>
      <c r="BK326" s="184"/>
      <c r="BL326" s="130"/>
      <c r="BM326" s="185"/>
      <c r="BN326" s="69"/>
      <c r="BO326" s="85"/>
      <c r="BP326" s="85"/>
      <c r="BQ326" s="85"/>
      <c r="BR326" s="85"/>
      <c r="BS326" s="85"/>
      <c r="BT326" s="85"/>
      <c r="BU326" s="87"/>
      <c r="BV326" s="87"/>
      <c r="BW326" s="87"/>
      <c r="BX326" s="87"/>
      <c r="BY326" s="87"/>
      <c r="BZ326" s="87"/>
      <c r="CA326" s="90"/>
      <c r="CB326" s="90"/>
      <c r="CC326" s="90"/>
      <c r="CD326" s="90"/>
      <c r="CE326" s="90"/>
      <c r="CF326" s="90"/>
      <c r="CG326" s="85"/>
      <c r="CH326" s="85"/>
      <c r="CI326" s="85"/>
      <c r="CJ326" s="85"/>
      <c r="CK326" s="85"/>
      <c r="CL326" s="87"/>
      <c r="CM326" s="87"/>
      <c r="CN326" s="87"/>
      <c r="CO326" s="87"/>
      <c r="CP326" s="90"/>
      <c r="CQ326" s="90"/>
      <c r="CR326" s="90"/>
      <c r="CS326" s="90"/>
      <c r="CT326" s="85"/>
      <c r="CU326" s="85"/>
      <c r="CV326" s="85"/>
      <c r="CW326" s="85"/>
      <c r="CX326" s="85"/>
      <c r="CY326" s="85"/>
      <c r="CZ326" s="85"/>
      <c r="DA326" s="33">
        <f t="shared" si="4"/>
        <v>0</v>
      </c>
    </row>
    <row r="327" spans="36:105" ht="19" x14ac:dyDescent="0.25">
      <c r="AJ327" s="63"/>
      <c r="AK327" s="20"/>
      <c r="AL327" s="21"/>
      <c r="AM327" s="22"/>
      <c r="AN327" s="23"/>
      <c r="AO327" s="24"/>
      <c r="AP327" s="25"/>
      <c r="AQ327" s="26"/>
      <c r="AR327" s="27"/>
      <c r="AS327" s="192"/>
      <c r="AT327" s="111"/>
      <c r="AU327" s="193"/>
      <c r="AV327" s="140"/>
      <c r="AW327" s="118"/>
      <c r="AX327" s="141"/>
      <c r="AY327" s="149"/>
      <c r="AZ327" s="121"/>
      <c r="BA327" s="150"/>
      <c r="BB327" s="158"/>
      <c r="BC327" s="124"/>
      <c r="BD327" s="159"/>
      <c r="BE327" s="167"/>
      <c r="BF327" s="85"/>
      <c r="BG327" s="168"/>
      <c r="BH327" s="175"/>
      <c r="BI327" s="127"/>
      <c r="BJ327" s="176"/>
      <c r="BK327" s="184"/>
      <c r="BL327" s="130"/>
      <c r="BM327" s="185"/>
      <c r="BN327" s="69"/>
      <c r="BO327" s="85"/>
      <c r="BP327" s="85"/>
      <c r="BQ327" s="85"/>
      <c r="BR327" s="85"/>
      <c r="BS327" s="85"/>
      <c r="BT327" s="85"/>
      <c r="BU327" s="87"/>
      <c r="BV327" s="87"/>
      <c r="BW327" s="87"/>
      <c r="BX327" s="87"/>
      <c r="BY327" s="87"/>
      <c r="BZ327" s="87"/>
      <c r="CA327" s="90"/>
      <c r="CB327" s="90"/>
      <c r="CC327" s="90"/>
      <c r="CD327" s="90"/>
      <c r="CE327" s="90"/>
      <c r="CF327" s="90"/>
      <c r="CG327" s="85"/>
      <c r="CH327" s="85"/>
      <c r="CI327" s="85"/>
      <c r="CJ327" s="85"/>
      <c r="CK327" s="85"/>
      <c r="CL327" s="87"/>
      <c r="CM327" s="87"/>
      <c r="CN327" s="87"/>
      <c r="CO327" s="87"/>
      <c r="CP327" s="90"/>
      <c r="CQ327" s="90"/>
      <c r="CR327" s="90"/>
      <c r="CS327" s="90"/>
      <c r="CT327" s="85"/>
      <c r="CU327" s="85"/>
      <c r="CV327" s="85"/>
      <c r="CW327" s="85"/>
      <c r="CX327" s="85"/>
      <c r="CY327" s="85"/>
      <c r="CZ327" s="85"/>
      <c r="DA327" s="33">
        <f t="shared" si="4"/>
        <v>0</v>
      </c>
    </row>
    <row r="328" spans="36:105" ht="19" x14ac:dyDescent="0.25">
      <c r="AJ328" s="63"/>
      <c r="AK328" s="20"/>
      <c r="AL328" s="21"/>
      <c r="AM328" s="22"/>
      <c r="AN328" s="23"/>
      <c r="AO328" s="24"/>
      <c r="AP328" s="25"/>
      <c r="AQ328" s="26"/>
      <c r="AR328" s="27"/>
      <c r="AS328" s="192"/>
      <c r="AT328" s="111"/>
      <c r="AU328" s="193"/>
      <c r="AV328" s="140"/>
      <c r="AW328" s="118"/>
      <c r="AX328" s="141"/>
      <c r="AY328" s="149"/>
      <c r="AZ328" s="121"/>
      <c r="BA328" s="150"/>
      <c r="BB328" s="158"/>
      <c r="BC328" s="124"/>
      <c r="BD328" s="159"/>
      <c r="BE328" s="167"/>
      <c r="BF328" s="85"/>
      <c r="BG328" s="168"/>
      <c r="BH328" s="175"/>
      <c r="BI328" s="127"/>
      <c r="BJ328" s="176"/>
      <c r="BK328" s="184"/>
      <c r="BL328" s="130"/>
      <c r="BM328" s="185"/>
      <c r="BN328" s="69"/>
      <c r="BO328" s="85"/>
      <c r="BP328" s="85"/>
      <c r="BQ328" s="85"/>
      <c r="BR328" s="85"/>
      <c r="BS328" s="85"/>
      <c r="BT328" s="85"/>
      <c r="BU328" s="87"/>
      <c r="BV328" s="87"/>
      <c r="BW328" s="87"/>
      <c r="BX328" s="87"/>
      <c r="BY328" s="87"/>
      <c r="BZ328" s="87"/>
      <c r="CA328" s="90"/>
      <c r="CB328" s="90"/>
      <c r="CC328" s="90"/>
      <c r="CD328" s="90"/>
      <c r="CE328" s="90"/>
      <c r="CF328" s="90"/>
      <c r="CG328" s="85"/>
      <c r="CH328" s="85"/>
      <c r="CI328" s="85"/>
      <c r="CJ328" s="85"/>
      <c r="CK328" s="85"/>
      <c r="CL328" s="87"/>
      <c r="CM328" s="87"/>
      <c r="CN328" s="87"/>
      <c r="CO328" s="87"/>
      <c r="CP328" s="90"/>
      <c r="CQ328" s="90"/>
      <c r="CR328" s="90"/>
      <c r="CS328" s="90"/>
      <c r="CT328" s="85"/>
      <c r="CU328" s="85"/>
      <c r="CV328" s="85"/>
      <c r="CW328" s="85"/>
      <c r="CX328" s="85"/>
      <c r="CY328" s="85"/>
      <c r="CZ328" s="85"/>
      <c r="DA328" s="33">
        <f t="shared" si="4"/>
        <v>0</v>
      </c>
    </row>
    <row r="329" spans="36:105" ht="19" x14ac:dyDescent="0.25">
      <c r="AJ329" s="63"/>
      <c r="AK329" s="20"/>
      <c r="AL329" s="21"/>
      <c r="AM329" s="22"/>
      <c r="AN329" s="23"/>
      <c r="AO329" s="24"/>
      <c r="AP329" s="25"/>
      <c r="AQ329" s="26"/>
      <c r="AR329" s="27"/>
      <c r="AS329" s="192"/>
      <c r="AT329" s="111"/>
      <c r="AU329" s="193"/>
      <c r="AV329" s="140"/>
      <c r="AW329" s="118"/>
      <c r="AX329" s="141"/>
      <c r="AY329" s="149"/>
      <c r="AZ329" s="121"/>
      <c r="BA329" s="150"/>
      <c r="BB329" s="158"/>
      <c r="BC329" s="124"/>
      <c r="BD329" s="159"/>
      <c r="BE329" s="167"/>
      <c r="BF329" s="85"/>
      <c r="BG329" s="168"/>
      <c r="BH329" s="175"/>
      <c r="BI329" s="127"/>
      <c r="BJ329" s="176"/>
      <c r="BK329" s="184"/>
      <c r="BL329" s="130"/>
      <c r="BM329" s="185"/>
      <c r="BN329" s="69"/>
      <c r="BO329" s="85"/>
      <c r="BP329" s="85"/>
      <c r="BQ329" s="85"/>
      <c r="BR329" s="85"/>
      <c r="BS329" s="85"/>
      <c r="BT329" s="85"/>
      <c r="BU329" s="87"/>
      <c r="BV329" s="87"/>
      <c r="BW329" s="87"/>
      <c r="BX329" s="87"/>
      <c r="BY329" s="87"/>
      <c r="BZ329" s="87"/>
      <c r="CA329" s="90"/>
      <c r="CB329" s="90"/>
      <c r="CC329" s="90"/>
      <c r="CD329" s="90"/>
      <c r="CE329" s="90"/>
      <c r="CF329" s="90"/>
      <c r="CG329" s="85"/>
      <c r="CH329" s="85"/>
      <c r="CI329" s="85"/>
      <c r="CJ329" s="85"/>
      <c r="CK329" s="85"/>
      <c r="CL329" s="87"/>
      <c r="CM329" s="87"/>
      <c r="CN329" s="87"/>
      <c r="CO329" s="87"/>
      <c r="CP329" s="90"/>
      <c r="CQ329" s="90"/>
      <c r="CR329" s="90"/>
      <c r="CS329" s="90"/>
      <c r="CT329" s="85"/>
      <c r="CU329" s="85"/>
      <c r="CV329" s="85"/>
      <c r="CW329" s="85"/>
      <c r="CX329" s="85"/>
      <c r="CY329" s="85"/>
      <c r="CZ329" s="85"/>
      <c r="DA329" s="33">
        <f t="shared" si="4"/>
        <v>0</v>
      </c>
    </row>
    <row r="330" spans="36:105" ht="19" x14ac:dyDescent="0.25">
      <c r="AJ330" s="63"/>
      <c r="AK330" s="20"/>
      <c r="AL330" s="21"/>
      <c r="AM330" s="22"/>
      <c r="AN330" s="23"/>
      <c r="AO330" s="24"/>
      <c r="AP330" s="25"/>
      <c r="AQ330" s="26"/>
      <c r="AR330" s="27"/>
      <c r="AS330" s="192"/>
      <c r="AT330" s="111"/>
      <c r="AU330" s="193"/>
      <c r="AV330" s="140"/>
      <c r="AW330" s="118"/>
      <c r="AX330" s="141"/>
      <c r="AY330" s="149"/>
      <c r="AZ330" s="121"/>
      <c r="BA330" s="150"/>
      <c r="BB330" s="158"/>
      <c r="BC330" s="124"/>
      <c r="BD330" s="159"/>
      <c r="BE330" s="167"/>
      <c r="BF330" s="85"/>
      <c r="BG330" s="168"/>
      <c r="BH330" s="175"/>
      <c r="BI330" s="127"/>
      <c r="BJ330" s="176"/>
      <c r="BK330" s="184"/>
      <c r="BL330" s="130"/>
      <c r="BM330" s="185"/>
      <c r="BN330" s="69"/>
      <c r="BO330" s="85"/>
      <c r="BP330" s="85"/>
      <c r="BQ330" s="85"/>
      <c r="BR330" s="85"/>
      <c r="BS330" s="85"/>
      <c r="BT330" s="85"/>
      <c r="BU330" s="87"/>
      <c r="BV330" s="87"/>
      <c r="BW330" s="87"/>
      <c r="BX330" s="87"/>
      <c r="BY330" s="87"/>
      <c r="BZ330" s="87"/>
      <c r="CA330" s="90"/>
      <c r="CB330" s="90"/>
      <c r="CC330" s="90"/>
      <c r="CD330" s="90"/>
      <c r="CE330" s="90"/>
      <c r="CF330" s="90"/>
      <c r="CG330" s="85"/>
      <c r="CH330" s="85"/>
      <c r="CI330" s="85"/>
      <c r="CJ330" s="85"/>
      <c r="CK330" s="85"/>
      <c r="CL330" s="87"/>
      <c r="CM330" s="87"/>
      <c r="CN330" s="87"/>
      <c r="CO330" s="87"/>
      <c r="CP330" s="90"/>
      <c r="CQ330" s="90"/>
      <c r="CR330" s="90"/>
      <c r="CS330" s="90"/>
      <c r="CT330" s="85"/>
      <c r="CU330" s="85"/>
      <c r="CV330" s="85"/>
      <c r="CW330" s="85"/>
      <c r="CX330" s="85"/>
      <c r="CY330" s="85"/>
      <c r="CZ330" s="85"/>
      <c r="DA330" s="33">
        <f t="shared" si="4"/>
        <v>0</v>
      </c>
    </row>
    <row r="331" spans="36:105" ht="19" x14ac:dyDescent="0.25">
      <c r="AJ331" s="63"/>
      <c r="AK331" s="20"/>
      <c r="AL331" s="21"/>
      <c r="AM331" s="22"/>
      <c r="AN331" s="23"/>
      <c r="AO331" s="24"/>
      <c r="AP331" s="25"/>
      <c r="AQ331" s="26"/>
      <c r="AR331" s="27"/>
      <c r="AS331" s="192"/>
      <c r="AT331" s="111"/>
      <c r="AU331" s="193"/>
      <c r="AV331" s="140"/>
      <c r="AW331" s="118"/>
      <c r="AX331" s="141"/>
      <c r="AY331" s="149"/>
      <c r="AZ331" s="121"/>
      <c r="BA331" s="150"/>
      <c r="BB331" s="158"/>
      <c r="BC331" s="124"/>
      <c r="BD331" s="159"/>
      <c r="BE331" s="167"/>
      <c r="BF331" s="85"/>
      <c r="BG331" s="168"/>
      <c r="BH331" s="175"/>
      <c r="BI331" s="127"/>
      <c r="BJ331" s="176"/>
      <c r="BK331" s="184"/>
      <c r="BL331" s="130"/>
      <c r="BM331" s="185"/>
      <c r="BN331" s="69"/>
      <c r="BO331" s="85"/>
      <c r="BP331" s="85"/>
      <c r="BQ331" s="85"/>
      <c r="BR331" s="85"/>
      <c r="BS331" s="85"/>
      <c r="BT331" s="85"/>
      <c r="BU331" s="87"/>
      <c r="BV331" s="87"/>
      <c r="BW331" s="87"/>
      <c r="BX331" s="87"/>
      <c r="BY331" s="87"/>
      <c r="BZ331" s="87"/>
      <c r="CA331" s="90"/>
      <c r="CB331" s="90"/>
      <c r="CC331" s="90"/>
      <c r="CD331" s="90"/>
      <c r="CE331" s="90"/>
      <c r="CF331" s="90"/>
      <c r="CG331" s="85"/>
      <c r="CH331" s="85"/>
      <c r="CI331" s="85"/>
      <c r="CJ331" s="85"/>
      <c r="CK331" s="85"/>
      <c r="CL331" s="87"/>
      <c r="CM331" s="87"/>
      <c r="CN331" s="87"/>
      <c r="CO331" s="87"/>
      <c r="CP331" s="90"/>
      <c r="CQ331" s="90"/>
      <c r="CR331" s="90"/>
      <c r="CS331" s="90"/>
      <c r="CT331" s="85"/>
      <c r="CU331" s="85"/>
      <c r="CV331" s="85"/>
      <c r="CW331" s="85"/>
      <c r="CX331" s="85"/>
      <c r="CY331" s="85"/>
      <c r="CZ331" s="85"/>
      <c r="DA331" s="33">
        <f t="shared" si="4"/>
        <v>0</v>
      </c>
    </row>
    <row r="332" spans="36:105" ht="19" x14ac:dyDescent="0.25">
      <c r="AJ332" s="63"/>
      <c r="AK332" s="20"/>
      <c r="AL332" s="21"/>
      <c r="AM332" s="22"/>
      <c r="AN332" s="23"/>
      <c r="AO332" s="24"/>
      <c r="AP332" s="25"/>
      <c r="AQ332" s="26"/>
      <c r="AR332" s="27"/>
      <c r="AS332" s="192"/>
      <c r="AT332" s="111"/>
      <c r="AU332" s="193"/>
      <c r="AV332" s="140"/>
      <c r="AW332" s="118"/>
      <c r="AX332" s="141"/>
      <c r="AY332" s="149"/>
      <c r="AZ332" s="121"/>
      <c r="BA332" s="150"/>
      <c r="BB332" s="158"/>
      <c r="BC332" s="124"/>
      <c r="BD332" s="159"/>
      <c r="BE332" s="167"/>
      <c r="BF332" s="85"/>
      <c r="BG332" s="168"/>
      <c r="BH332" s="175"/>
      <c r="BI332" s="127"/>
      <c r="BJ332" s="176"/>
      <c r="BK332" s="184"/>
      <c r="BL332" s="130"/>
      <c r="BM332" s="185"/>
      <c r="BN332" s="69"/>
      <c r="BO332" s="85"/>
      <c r="BP332" s="85"/>
      <c r="BQ332" s="85"/>
      <c r="BR332" s="85"/>
      <c r="BS332" s="85"/>
      <c r="BT332" s="85"/>
      <c r="BU332" s="87"/>
      <c r="BV332" s="87"/>
      <c r="BW332" s="87"/>
      <c r="BX332" s="87"/>
      <c r="BY332" s="87"/>
      <c r="BZ332" s="87"/>
      <c r="CA332" s="90"/>
      <c r="CB332" s="90"/>
      <c r="CC332" s="90"/>
      <c r="CD332" s="90"/>
      <c r="CE332" s="90"/>
      <c r="CF332" s="90"/>
      <c r="CG332" s="85"/>
      <c r="CH332" s="85"/>
      <c r="CI332" s="85"/>
      <c r="CJ332" s="85"/>
      <c r="CK332" s="85"/>
      <c r="CL332" s="87"/>
      <c r="CM332" s="87"/>
      <c r="CN332" s="87"/>
      <c r="CO332" s="87"/>
      <c r="CP332" s="90"/>
      <c r="CQ332" s="90"/>
      <c r="CR332" s="90"/>
      <c r="CS332" s="90"/>
      <c r="CT332" s="85"/>
      <c r="CU332" s="85"/>
      <c r="CV332" s="85"/>
      <c r="CW332" s="85"/>
      <c r="CX332" s="85"/>
      <c r="CY332" s="85"/>
      <c r="CZ332" s="85"/>
      <c r="DA332" s="33">
        <f t="shared" si="4"/>
        <v>0</v>
      </c>
    </row>
    <row r="333" spans="36:105" ht="19" x14ac:dyDescent="0.25">
      <c r="AJ333" s="63"/>
      <c r="AK333" s="20"/>
      <c r="AL333" s="21"/>
      <c r="AM333" s="22"/>
      <c r="AN333" s="23"/>
      <c r="AO333" s="24"/>
      <c r="AP333" s="25"/>
      <c r="AQ333" s="26"/>
      <c r="AR333" s="27"/>
      <c r="AS333" s="192"/>
      <c r="AT333" s="111"/>
      <c r="AU333" s="193"/>
      <c r="AV333" s="140"/>
      <c r="AW333" s="118"/>
      <c r="AX333" s="141"/>
      <c r="AY333" s="149"/>
      <c r="AZ333" s="121"/>
      <c r="BA333" s="150"/>
      <c r="BB333" s="158"/>
      <c r="BC333" s="124"/>
      <c r="BD333" s="159"/>
      <c r="BE333" s="167"/>
      <c r="BF333" s="85"/>
      <c r="BG333" s="168"/>
      <c r="BH333" s="175"/>
      <c r="BI333" s="127"/>
      <c r="BJ333" s="176"/>
      <c r="BK333" s="184"/>
      <c r="BL333" s="130"/>
      <c r="BM333" s="185"/>
      <c r="BN333" s="69"/>
      <c r="BO333" s="85"/>
      <c r="BP333" s="85"/>
      <c r="BQ333" s="85"/>
      <c r="BR333" s="85"/>
      <c r="BS333" s="85"/>
      <c r="BT333" s="85"/>
      <c r="BU333" s="87"/>
      <c r="BV333" s="87"/>
      <c r="BW333" s="87"/>
      <c r="BX333" s="87"/>
      <c r="BY333" s="87"/>
      <c r="BZ333" s="87"/>
      <c r="CA333" s="90"/>
      <c r="CB333" s="90"/>
      <c r="CC333" s="90"/>
      <c r="CD333" s="90"/>
      <c r="CE333" s="90"/>
      <c r="CF333" s="90"/>
      <c r="CG333" s="85"/>
      <c r="CH333" s="85"/>
      <c r="CI333" s="85"/>
      <c r="CJ333" s="85"/>
      <c r="CK333" s="85"/>
      <c r="CL333" s="87"/>
      <c r="CM333" s="87"/>
      <c r="CN333" s="87"/>
      <c r="CO333" s="87"/>
      <c r="CP333" s="90"/>
      <c r="CQ333" s="90"/>
      <c r="CR333" s="90"/>
      <c r="CS333" s="90"/>
      <c r="CT333" s="85"/>
      <c r="CU333" s="85"/>
      <c r="CV333" s="85"/>
      <c r="CW333" s="85"/>
      <c r="CX333" s="85"/>
      <c r="CY333" s="85"/>
      <c r="CZ333" s="85"/>
      <c r="DA333" s="33">
        <f t="shared" si="4"/>
        <v>0</v>
      </c>
    </row>
    <row r="334" spans="36:105" ht="19" x14ac:dyDescent="0.25">
      <c r="AJ334" s="63"/>
      <c r="AK334" s="20"/>
      <c r="AL334" s="21"/>
      <c r="AM334" s="22"/>
      <c r="AN334" s="23"/>
      <c r="AO334" s="24"/>
      <c r="AP334" s="25"/>
      <c r="AQ334" s="26"/>
      <c r="AR334" s="27"/>
      <c r="AS334" s="192"/>
      <c r="AT334" s="111"/>
      <c r="AU334" s="193"/>
      <c r="AV334" s="140"/>
      <c r="AW334" s="118"/>
      <c r="AX334" s="141"/>
      <c r="AY334" s="149"/>
      <c r="AZ334" s="121"/>
      <c r="BA334" s="150"/>
      <c r="BB334" s="158"/>
      <c r="BC334" s="124"/>
      <c r="BD334" s="159"/>
      <c r="BE334" s="167"/>
      <c r="BF334" s="85"/>
      <c r="BG334" s="168"/>
      <c r="BH334" s="175"/>
      <c r="BI334" s="127"/>
      <c r="BJ334" s="176"/>
      <c r="BK334" s="184"/>
      <c r="BL334" s="130"/>
      <c r="BM334" s="185"/>
      <c r="BN334" s="69"/>
      <c r="BO334" s="85"/>
      <c r="BP334" s="85"/>
      <c r="BQ334" s="85"/>
      <c r="BR334" s="85"/>
      <c r="BS334" s="85"/>
      <c r="BT334" s="85"/>
      <c r="BU334" s="87"/>
      <c r="BV334" s="87"/>
      <c r="BW334" s="87"/>
      <c r="BX334" s="87"/>
      <c r="BY334" s="87"/>
      <c r="BZ334" s="87"/>
      <c r="CA334" s="90"/>
      <c r="CB334" s="90"/>
      <c r="CC334" s="90"/>
      <c r="CD334" s="90"/>
      <c r="CE334" s="90"/>
      <c r="CF334" s="90"/>
      <c r="CG334" s="85"/>
      <c r="CH334" s="85"/>
      <c r="CI334" s="85"/>
      <c r="CJ334" s="85"/>
      <c r="CK334" s="85"/>
      <c r="CL334" s="87"/>
      <c r="CM334" s="87"/>
      <c r="CN334" s="87"/>
      <c r="CO334" s="87"/>
      <c r="CP334" s="90"/>
      <c r="CQ334" s="90"/>
      <c r="CR334" s="90"/>
      <c r="CS334" s="90"/>
      <c r="CT334" s="85"/>
      <c r="CU334" s="85"/>
      <c r="CV334" s="85"/>
      <c r="CW334" s="85"/>
      <c r="CX334" s="85"/>
      <c r="CY334" s="85"/>
      <c r="CZ334" s="85"/>
      <c r="DA334" s="33">
        <f t="shared" si="4"/>
        <v>0</v>
      </c>
    </row>
    <row r="335" spans="36:105" ht="19" x14ac:dyDescent="0.25">
      <c r="AJ335" s="63"/>
      <c r="AK335" s="20"/>
      <c r="AL335" s="21"/>
      <c r="AM335" s="22"/>
      <c r="AN335" s="23"/>
      <c r="AO335" s="24"/>
      <c r="AP335" s="25"/>
      <c r="AQ335" s="26"/>
      <c r="AR335" s="27"/>
      <c r="AS335" s="192"/>
      <c r="AT335" s="111"/>
      <c r="AU335" s="193"/>
      <c r="AV335" s="140"/>
      <c r="AW335" s="118"/>
      <c r="AX335" s="141"/>
      <c r="AY335" s="149"/>
      <c r="AZ335" s="121"/>
      <c r="BA335" s="150"/>
      <c r="BB335" s="158"/>
      <c r="BC335" s="124"/>
      <c r="BD335" s="159"/>
      <c r="BE335" s="167"/>
      <c r="BF335" s="85"/>
      <c r="BG335" s="168"/>
      <c r="BH335" s="175"/>
      <c r="BI335" s="127"/>
      <c r="BJ335" s="176"/>
      <c r="BK335" s="184"/>
      <c r="BL335" s="130"/>
      <c r="BM335" s="185"/>
      <c r="BN335" s="69"/>
      <c r="BO335" s="85"/>
      <c r="BP335" s="85"/>
      <c r="BQ335" s="85"/>
      <c r="BR335" s="85"/>
      <c r="BS335" s="85"/>
      <c r="BT335" s="85"/>
      <c r="BU335" s="87"/>
      <c r="BV335" s="87"/>
      <c r="BW335" s="87"/>
      <c r="BX335" s="87"/>
      <c r="BY335" s="87"/>
      <c r="BZ335" s="87"/>
      <c r="CA335" s="90"/>
      <c r="CB335" s="90"/>
      <c r="CC335" s="90"/>
      <c r="CD335" s="90"/>
      <c r="CE335" s="90"/>
      <c r="CF335" s="90"/>
      <c r="CG335" s="85"/>
      <c r="CH335" s="85"/>
      <c r="CI335" s="85"/>
      <c r="CJ335" s="85"/>
      <c r="CK335" s="85"/>
      <c r="CL335" s="87"/>
      <c r="CM335" s="87"/>
      <c r="CN335" s="87"/>
      <c r="CO335" s="87"/>
      <c r="CP335" s="90"/>
      <c r="CQ335" s="90"/>
      <c r="CR335" s="90"/>
      <c r="CS335" s="90"/>
      <c r="CT335" s="85"/>
      <c r="CU335" s="85"/>
      <c r="CV335" s="85"/>
      <c r="CW335" s="85"/>
      <c r="CX335" s="85"/>
      <c r="CY335" s="85"/>
      <c r="CZ335" s="85"/>
      <c r="DA335" s="33">
        <f t="shared" si="4"/>
        <v>0</v>
      </c>
    </row>
    <row r="336" spans="36:105" ht="19" x14ac:dyDescent="0.25">
      <c r="AJ336" s="63"/>
      <c r="AK336" s="20"/>
      <c r="AL336" s="21"/>
      <c r="AM336" s="22"/>
      <c r="AN336" s="23"/>
      <c r="AO336" s="24"/>
      <c r="AP336" s="25"/>
      <c r="AQ336" s="26"/>
      <c r="AR336" s="27"/>
      <c r="AS336" s="192"/>
      <c r="AT336" s="111"/>
      <c r="AU336" s="193"/>
      <c r="AV336" s="140"/>
      <c r="AW336" s="118"/>
      <c r="AX336" s="141"/>
      <c r="AY336" s="149"/>
      <c r="AZ336" s="121"/>
      <c r="BA336" s="150"/>
      <c r="BB336" s="158"/>
      <c r="BC336" s="124"/>
      <c r="BD336" s="159"/>
      <c r="BE336" s="167"/>
      <c r="BF336" s="85"/>
      <c r="BG336" s="168"/>
      <c r="BH336" s="175"/>
      <c r="BI336" s="127"/>
      <c r="BJ336" s="176"/>
      <c r="BK336" s="184"/>
      <c r="BL336" s="130"/>
      <c r="BM336" s="185"/>
      <c r="BN336" s="69"/>
      <c r="BO336" s="85"/>
      <c r="BP336" s="85"/>
      <c r="BQ336" s="85"/>
      <c r="BR336" s="85"/>
      <c r="BS336" s="85"/>
      <c r="BT336" s="85"/>
      <c r="BU336" s="87"/>
      <c r="BV336" s="87"/>
      <c r="BW336" s="87"/>
      <c r="BX336" s="87"/>
      <c r="BY336" s="87"/>
      <c r="BZ336" s="87"/>
      <c r="CA336" s="90"/>
      <c r="CB336" s="90"/>
      <c r="CC336" s="90"/>
      <c r="CD336" s="90"/>
      <c r="CE336" s="90"/>
      <c r="CF336" s="90"/>
      <c r="CG336" s="85"/>
      <c r="CH336" s="85"/>
      <c r="CI336" s="85"/>
      <c r="CJ336" s="85"/>
      <c r="CK336" s="85"/>
      <c r="CL336" s="87"/>
      <c r="CM336" s="87"/>
      <c r="CN336" s="87"/>
      <c r="CO336" s="87"/>
      <c r="CP336" s="90"/>
      <c r="CQ336" s="90"/>
      <c r="CR336" s="90"/>
      <c r="CS336" s="90"/>
      <c r="CT336" s="85"/>
      <c r="CU336" s="85"/>
      <c r="CV336" s="85"/>
      <c r="CW336" s="85"/>
      <c r="CX336" s="85"/>
      <c r="CY336" s="85"/>
      <c r="CZ336" s="85"/>
      <c r="DA336" s="33">
        <f t="shared" si="4"/>
        <v>0</v>
      </c>
    </row>
    <row r="337" spans="36:105" ht="19" x14ac:dyDescent="0.25">
      <c r="AJ337" s="63"/>
      <c r="AK337" s="20"/>
      <c r="AL337" s="21"/>
      <c r="AM337" s="22"/>
      <c r="AN337" s="23"/>
      <c r="AO337" s="24"/>
      <c r="AP337" s="25"/>
      <c r="AQ337" s="26"/>
      <c r="AR337" s="27"/>
      <c r="AS337" s="192"/>
      <c r="AT337" s="111"/>
      <c r="AU337" s="193"/>
      <c r="AV337" s="140"/>
      <c r="AW337" s="118"/>
      <c r="AX337" s="141"/>
      <c r="AY337" s="149"/>
      <c r="AZ337" s="121"/>
      <c r="BA337" s="150"/>
      <c r="BB337" s="158"/>
      <c r="BC337" s="124"/>
      <c r="BD337" s="159"/>
      <c r="BE337" s="167"/>
      <c r="BF337" s="85"/>
      <c r="BG337" s="168"/>
      <c r="BH337" s="175"/>
      <c r="BI337" s="127"/>
      <c r="BJ337" s="176"/>
      <c r="BK337" s="184"/>
      <c r="BL337" s="130"/>
      <c r="BM337" s="185"/>
      <c r="BN337" s="69"/>
      <c r="BO337" s="85"/>
      <c r="BP337" s="85"/>
      <c r="BQ337" s="85"/>
      <c r="BR337" s="85"/>
      <c r="BS337" s="85"/>
      <c r="BT337" s="85"/>
      <c r="BU337" s="87"/>
      <c r="BV337" s="87"/>
      <c r="BW337" s="87"/>
      <c r="BX337" s="87"/>
      <c r="BY337" s="87"/>
      <c r="BZ337" s="87"/>
      <c r="CA337" s="90"/>
      <c r="CB337" s="90"/>
      <c r="CC337" s="90"/>
      <c r="CD337" s="90"/>
      <c r="CE337" s="90"/>
      <c r="CF337" s="90"/>
      <c r="CG337" s="85"/>
      <c r="CH337" s="85"/>
      <c r="CI337" s="85"/>
      <c r="CJ337" s="85"/>
      <c r="CK337" s="85"/>
      <c r="CL337" s="87"/>
      <c r="CM337" s="87"/>
      <c r="CN337" s="87"/>
      <c r="CO337" s="87"/>
      <c r="CP337" s="90"/>
      <c r="CQ337" s="90"/>
      <c r="CR337" s="90"/>
      <c r="CS337" s="90"/>
      <c r="CT337" s="85"/>
      <c r="CU337" s="85"/>
      <c r="CV337" s="85"/>
      <c r="CW337" s="85"/>
      <c r="CX337" s="85"/>
      <c r="CY337" s="85"/>
      <c r="CZ337" s="85"/>
      <c r="DA337" s="33">
        <f t="shared" si="4"/>
        <v>0</v>
      </c>
    </row>
    <row r="338" spans="36:105" ht="19" x14ac:dyDescent="0.25">
      <c r="AJ338" s="63"/>
      <c r="AK338" s="20"/>
      <c r="AL338" s="21"/>
      <c r="AM338" s="22"/>
      <c r="AN338" s="23"/>
      <c r="AO338" s="24"/>
      <c r="AP338" s="25"/>
      <c r="AQ338" s="26"/>
      <c r="AR338" s="27"/>
      <c r="AS338" s="192"/>
      <c r="AT338" s="111"/>
      <c r="AU338" s="193"/>
      <c r="AV338" s="140"/>
      <c r="AW338" s="118"/>
      <c r="AX338" s="141"/>
      <c r="AY338" s="149"/>
      <c r="AZ338" s="121"/>
      <c r="BA338" s="150"/>
      <c r="BB338" s="158"/>
      <c r="BC338" s="124"/>
      <c r="BD338" s="159"/>
      <c r="BE338" s="167"/>
      <c r="BF338" s="85"/>
      <c r="BG338" s="168"/>
      <c r="BH338" s="175"/>
      <c r="BI338" s="127"/>
      <c r="BJ338" s="176"/>
      <c r="BK338" s="184"/>
      <c r="BL338" s="130"/>
      <c r="BM338" s="185"/>
      <c r="BN338" s="69"/>
      <c r="BO338" s="85"/>
      <c r="BP338" s="85"/>
      <c r="BQ338" s="85"/>
      <c r="BR338" s="85"/>
      <c r="BS338" s="85"/>
      <c r="BT338" s="85"/>
      <c r="BU338" s="87"/>
      <c r="BV338" s="87"/>
      <c r="BW338" s="87"/>
      <c r="BX338" s="87"/>
      <c r="BY338" s="87"/>
      <c r="BZ338" s="87"/>
      <c r="CA338" s="90"/>
      <c r="CB338" s="90"/>
      <c r="CC338" s="90"/>
      <c r="CD338" s="90"/>
      <c r="CE338" s="90"/>
      <c r="CF338" s="90"/>
      <c r="CG338" s="85"/>
      <c r="CH338" s="85"/>
      <c r="CI338" s="85"/>
      <c r="CJ338" s="85"/>
      <c r="CK338" s="85"/>
      <c r="CL338" s="87"/>
      <c r="CM338" s="87"/>
      <c r="CN338" s="87"/>
      <c r="CO338" s="87"/>
      <c r="CP338" s="90"/>
      <c r="CQ338" s="90"/>
      <c r="CR338" s="90"/>
      <c r="CS338" s="90"/>
      <c r="CT338" s="85"/>
      <c r="CU338" s="85"/>
      <c r="CV338" s="85"/>
      <c r="CW338" s="85"/>
      <c r="CX338" s="85"/>
      <c r="CY338" s="85"/>
      <c r="CZ338" s="85"/>
      <c r="DA338" s="33">
        <f t="shared" si="4"/>
        <v>0</v>
      </c>
    </row>
    <row r="339" spans="36:105" ht="19" x14ac:dyDescent="0.25">
      <c r="AJ339" s="63"/>
      <c r="AK339" s="20"/>
      <c r="AL339" s="21"/>
      <c r="AM339" s="22"/>
      <c r="AN339" s="23"/>
      <c r="AO339" s="24"/>
      <c r="AP339" s="25"/>
      <c r="AQ339" s="26"/>
      <c r="AR339" s="27"/>
      <c r="AS339" s="192"/>
      <c r="AT339" s="111"/>
      <c r="AU339" s="193"/>
      <c r="AV339" s="140"/>
      <c r="AW339" s="118"/>
      <c r="AX339" s="141"/>
      <c r="AY339" s="149"/>
      <c r="AZ339" s="121"/>
      <c r="BA339" s="150"/>
      <c r="BB339" s="158"/>
      <c r="BC339" s="124"/>
      <c r="BD339" s="159"/>
      <c r="BE339" s="167"/>
      <c r="BF339" s="85"/>
      <c r="BG339" s="168"/>
      <c r="BH339" s="175"/>
      <c r="BI339" s="127"/>
      <c r="BJ339" s="176"/>
      <c r="BK339" s="184"/>
      <c r="BL339" s="130"/>
      <c r="BM339" s="185"/>
      <c r="BN339" s="69"/>
      <c r="BO339" s="85"/>
      <c r="BP339" s="85"/>
      <c r="BQ339" s="85"/>
      <c r="BR339" s="85"/>
      <c r="BS339" s="85"/>
      <c r="BT339" s="85"/>
      <c r="BU339" s="87"/>
      <c r="BV339" s="87"/>
      <c r="BW339" s="87"/>
      <c r="BX339" s="87"/>
      <c r="BY339" s="87"/>
      <c r="BZ339" s="87"/>
      <c r="CA339" s="90"/>
      <c r="CB339" s="90"/>
      <c r="CC339" s="90"/>
      <c r="CD339" s="90"/>
      <c r="CE339" s="90"/>
      <c r="CF339" s="90"/>
      <c r="CG339" s="85"/>
      <c r="CH339" s="85"/>
      <c r="CI339" s="85"/>
      <c r="CJ339" s="85"/>
      <c r="CK339" s="85"/>
      <c r="CL339" s="87"/>
      <c r="CM339" s="87"/>
      <c r="CN339" s="87"/>
      <c r="CO339" s="87"/>
      <c r="CP339" s="90"/>
      <c r="CQ339" s="90"/>
      <c r="CR339" s="90"/>
      <c r="CS339" s="90"/>
      <c r="CT339" s="85"/>
      <c r="CU339" s="85"/>
      <c r="CV339" s="85"/>
      <c r="CW339" s="85"/>
      <c r="CX339" s="85"/>
      <c r="CY339" s="85"/>
      <c r="CZ339" s="85"/>
      <c r="DA339" s="33">
        <f t="shared" si="4"/>
        <v>0</v>
      </c>
    </row>
    <row r="340" spans="36:105" ht="19" x14ac:dyDescent="0.25">
      <c r="AJ340" s="63"/>
      <c r="AK340" s="20"/>
      <c r="AL340" s="21"/>
      <c r="AM340" s="22"/>
      <c r="AN340" s="23"/>
      <c r="AO340" s="24"/>
      <c r="AP340" s="25"/>
      <c r="AQ340" s="26"/>
      <c r="AR340" s="27"/>
      <c r="AS340" s="192"/>
      <c r="AT340" s="111"/>
      <c r="AU340" s="193"/>
      <c r="AV340" s="140"/>
      <c r="AW340" s="118"/>
      <c r="AX340" s="141"/>
      <c r="AY340" s="149"/>
      <c r="AZ340" s="121"/>
      <c r="BA340" s="150"/>
      <c r="BB340" s="158"/>
      <c r="BC340" s="124"/>
      <c r="BD340" s="159"/>
      <c r="BE340" s="167"/>
      <c r="BF340" s="85"/>
      <c r="BG340" s="168"/>
      <c r="BH340" s="175"/>
      <c r="BI340" s="127"/>
      <c r="BJ340" s="176"/>
      <c r="BK340" s="184"/>
      <c r="BL340" s="130"/>
      <c r="BM340" s="185"/>
      <c r="BN340" s="69"/>
      <c r="BO340" s="85"/>
      <c r="BP340" s="85"/>
      <c r="BQ340" s="85"/>
      <c r="BR340" s="85"/>
      <c r="BS340" s="85"/>
      <c r="BT340" s="85"/>
      <c r="BU340" s="87"/>
      <c r="BV340" s="87"/>
      <c r="BW340" s="87"/>
      <c r="BX340" s="87"/>
      <c r="BY340" s="87"/>
      <c r="BZ340" s="87"/>
      <c r="CA340" s="90"/>
      <c r="CB340" s="90"/>
      <c r="CC340" s="90"/>
      <c r="CD340" s="90"/>
      <c r="CE340" s="90"/>
      <c r="CF340" s="90"/>
      <c r="CG340" s="85"/>
      <c r="CH340" s="85"/>
      <c r="CI340" s="85"/>
      <c r="CJ340" s="85"/>
      <c r="CK340" s="85"/>
      <c r="CL340" s="87"/>
      <c r="CM340" s="87"/>
      <c r="CN340" s="87"/>
      <c r="CO340" s="87"/>
      <c r="CP340" s="90"/>
      <c r="CQ340" s="90"/>
      <c r="CR340" s="90"/>
      <c r="CS340" s="90"/>
      <c r="CT340" s="85"/>
      <c r="CU340" s="85"/>
      <c r="CV340" s="85"/>
      <c r="CW340" s="85"/>
      <c r="CX340" s="85"/>
      <c r="CY340" s="85"/>
      <c r="CZ340" s="85"/>
      <c r="DA340" s="33">
        <f t="shared" si="4"/>
        <v>0</v>
      </c>
    </row>
    <row r="341" spans="36:105" ht="19" x14ac:dyDescent="0.25">
      <c r="AJ341" s="63"/>
      <c r="AK341" s="20"/>
      <c r="AL341" s="21"/>
      <c r="AM341" s="22"/>
      <c r="AN341" s="23"/>
      <c r="AO341" s="24"/>
      <c r="AP341" s="25"/>
      <c r="AQ341" s="26"/>
      <c r="AR341" s="27"/>
      <c r="AS341" s="192"/>
      <c r="AT341" s="111"/>
      <c r="AU341" s="193"/>
      <c r="AV341" s="140"/>
      <c r="AW341" s="118"/>
      <c r="AX341" s="141"/>
      <c r="AY341" s="149"/>
      <c r="AZ341" s="121"/>
      <c r="BA341" s="150"/>
      <c r="BB341" s="158"/>
      <c r="BC341" s="124"/>
      <c r="BD341" s="159"/>
      <c r="BE341" s="167"/>
      <c r="BF341" s="85"/>
      <c r="BG341" s="168"/>
      <c r="BH341" s="175"/>
      <c r="BI341" s="127"/>
      <c r="BJ341" s="176"/>
      <c r="BK341" s="184"/>
      <c r="BL341" s="130"/>
      <c r="BM341" s="185"/>
      <c r="BN341" s="69"/>
      <c r="BO341" s="85"/>
      <c r="BP341" s="85"/>
      <c r="BQ341" s="85"/>
      <c r="BR341" s="85"/>
      <c r="BS341" s="85"/>
      <c r="BT341" s="85"/>
      <c r="BU341" s="87"/>
      <c r="BV341" s="87"/>
      <c r="BW341" s="87"/>
      <c r="BX341" s="87"/>
      <c r="BY341" s="87"/>
      <c r="BZ341" s="87"/>
      <c r="CA341" s="90"/>
      <c r="CB341" s="90"/>
      <c r="CC341" s="90"/>
      <c r="CD341" s="90"/>
      <c r="CE341" s="90"/>
      <c r="CF341" s="90"/>
      <c r="CG341" s="85"/>
      <c r="CH341" s="85"/>
      <c r="CI341" s="85"/>
      <c r="CJ341" s="85"/>
      <c r="CK341" s="85"/>
      <c r="CL341" s="87"/>
      <c r="CM341" s="87"/>
      <c r="CN341" s="87"/>
      <c r="CO341" s="87"/>
      <c r="CP341" s="90"/>
      <c r="CQ341" s="90"/>
      <c r="CR341" s="90"/>
      <c r="CS341" s="90"/>
      <c r="CT341" s="85"/>
      <c r="CU341" s="85"/>
      <c r="CV341" s="85"/>
      <c r="CW341" s="85"/>
      <c r="CX341" s="85"/>
      <c r="CY341" s="85"/>
      <c r="CZ341" s="85"/>
      <c r="DA341" s="33">
        <f t="shared" si="4"/>
        <v>0</v>
      </c>
    </row>
    <row r="342" spans="36:105" ht="19" x14ac:dyDescent="0.25">
      <c r="AJ342" s="63"/>
      <c r="AK342" s="20"/>
      <c r="AL342" s="21"/>
      <c r="AM342" s="22"/>
      <c r="AN342" s="23"/>
      <c r="AO342" s="24"/>
      <c r="AP342" s="25"/>
      <c r="AQ342" s="26"/>
      <c r="AR342" s="27"/>
      <c r="AS342" s="192"/>
      <c r="AT342" s="111"/>
      <c r="AU342" s="193"/>
      <c r="AV342" s="140"/>
      <c r="AW342" s="118"/>
      <c r="AX342" s="141"/>
      <c r="AY342" s="149"/>
      <c r="AZ342" s="121"/>
      <c r="BA342" s="150"/>
      <c r="BB342" s="158"/>
      <c r="BC342" s="124"/>
      <c r="BD342" s="159"/>
      <c r="BE342" s="167"/>
      <c r="BF342" s="85"/>
      <c r="BG342" s="168"/>
      <c r="BH342" s="175"/>
      <c r="BI342" s="127"/>
      <c r="BJ342" s="176"/>
      <c r="BK342" s="184"/>
      <c r="BL342" s="130"/>
      <c r="BM342" s="185"/>
      <c r="BN342" s="69"/>
      <c r="BO342" s="85"/>
      <c r="BP342" s="85"/>
      <c r="BQ342" s="85"/>
      <c r="BR342" s="85"/>
      <c r="BS342" s="85"/>
      <c r="BT342" s="85"/>
      <c r="BU342" s="87"/>
      <c r="BV342" s="87"/>
      <c r="BW342" s="87"/>
      <c r="BX342" s="87"/>
      <c r="BY342" s="87"/>
      <c r="BZ342" s="87"/>
      <c r="CA342" s="90"/>
      <c r="CB342" s="90"/>
      <c r="CC342" s="90"/>
      <c r="CD342" s="90"/>
      <c r="CE342" s="90"/>
      <c r="CF342" s="90"/>
      <c r="CG342" s="85"/>
      <c r="CH342" s="85"/>
      <c r="CI342" s="85"/>
      <c r="CJ342" s="85"/>
      <c r="CK342" s="85"/>
      <c r="CL342" s="87"/>
      <c r="CM342" s="87"/>
      <c r="CN342" s="87"/>
      <c r="CO342" s="87"/>
      <c r="CP342" s="90"/>
      <c r="CQ342" s="90"/>
      <c r="CR342" s="90"/>
      <c r="CS342" s="90"/>
      <c r="CT342" s="85"/>
      <c r="CU342" s="85"/>
      <c r="CV342" s="85"/>
      <c r="CW342" s="85"/>
      <c r="CX342" s="85"/>
      <c r="CY342" s="85"/>
      <c r="CZ342" s="85"/>
      <c r="DA342" s="33">
        <f t="shared" si="4"/>
        <v>0</v>
      </c>
    </row>
    <row r="343" spans="36:105" ht="19" x14ac:dyDescent="0.25">
      <c r="AJ343" s="63"/>
      <c r="AK343" s="20"/>
      <c r="AL343" s="21"/>
      <c r="AM343" s="22"/>
      <c r="AN343" s="23"/>
      <c r="AO343" s="24"/>
      <c r="AP343" s="25"/>
      <c r="AQ343" s="26"/>
      <c r="AR343" s="27"/>
      <c r="AS343" s="192"/>
      <c r="AT343" s="111"/>
      <c r="AU343" s="193"/>
      <c r="AV343" s="140"/>
      <c r="AW343" s="118"/>
      <c r="AX343" s="141"/>
      <c r="AY343" s="149"/>
      <c r="AZ343" s="121"/>
      <c r="BA343" s="150"/>
      <c r="BB343" s="158"/>
      <c r="BC343" s="124"/>
      <c r="BD343" s="159"/>
      <c r="BE343" s="167"/>
      <c r="BF343" s="85"/>
      <c r="BG343" s="168"/>
      <c r="BH343" s="175"/>
      <c r="BI343" s="127"/>
      <c r="BJ343" s="176"/>
      <c r="BK343" s="184"/>
      <c r="BL343" s="130"/>
      <c r="BM343" s="185"/>
      <c r="BN343" s="69"/>
      <c r="BO343" s="85"/>
      <c r="BP343" s="85"/>
      <c r="BQ343" s="85"/>
      <c r="BR343" s="85"/>
      <c r="BS343" s="85"/>
      <c r="BT343" s="85"/>
      <c r="BU343" s="87"/>
      <c r="BV343" s="87"/>
      <c r="BW343" s="87"/>
      <c r="BX343" s="87"/>
      <c r="BY343" s="87"/>
      <c r="BZ343" s="87"/>
      <c r="CA343" s="90"/>
      <c r="CB343" s="90"/>
      <c r="CC343" s="90"/>
      <c r="CD343" s="90"/>
      <c r="CE343" s="90"/>
      <c r="CF343" s="90"/>
      <c r="CG343" s="85"/>
      <c r="CH343" s="85"/>
      <c r="CI343" s="85"/>
      <c r="CJ343" s="85"/>
      <c r="CK343" s="85"/>
      <c r="CL343" s="87"/>
      <c r="CM343" s="87"/>
      <c r="CN343" s="87"/>
      <c r="CO343" s="87"/>
      <c r="CP343" s="90"/>
      <c r="CQ343" s="90"/>
      <c r="CR343" s="90"/>
      <c r="CS343" s="90"/>
      <c r="CT343" s="85"/>
      <c r="CU343" s="85"/>
      <c r="CV343" s="85"/>
      <c r="CW343" s="85"/>
      <c r="CX343" s="85"/>
      <c r="CY343" s="85"/>
      <c r="CZ343" s="85"/>
      <c r="DA343" s="33">
        <f t="shared" si="4"/>
        <v>0</v>
      </c>
    </row>
    <row r="344" spans="36:105" ht="19" x14ac:dyDescent="0.25">
      <c r="AJ344" s="63"/>
      <c r="AK344" s="20"/>
      <c r="AL344" s="21"/>
      <c r="AM344" s="22"/>
      <c r="AN344" s="23"/>
      <c r="AO344" s="24"/>
      <c r="AP344" s="25"/>
      <c r="AQ344" s="26"/>
      <c r="AR344" s="27"/>
      <c r="AS344" s="192"/>
      <c r="AT344" s="111"/>
      <c r="AU344" s="193"/>
      <c r="AV344" s="140"/>
      <c r="AW344" s="118"/>
      <c r="AX344" s="141"/>
      <c r="AY344" s="149"/>
      <c r="AZ344" s="121"/>
      <c r="BA344" s="150"/>
      <c r="BB344" s="158"/>
      <c r="BC344" s="124"/>
      <c r="BD344" s="159"/>
      <c r="BE344" s="167"/>
      <c r="BF344" s="85"/>
      <c r="BG344" s="168"/>
      <c r="BH344" s="175"/>
      <c r="BI344" s="127"/>
      <c r="BJ344" s="176"/>
      <c r="BK344" s="184"/>
      <c r="BL344" s="130"/>
      <c r="BM344" s="185"/>
      <c r="BN344" s="69"/>
      <c r="BO344" s="85"/>
      <c r="BP344" s="85"/>
      <c r="BQ344" s="85"/>
      <c r="BR344" s="85"/>
      <c r="BS344" s="85"/>
      <c r="BT344" s="85"/>
      <c r="BU344" s="87"/>
      <c r="BV344" s="87"/>
      <c r="BW344" s="87"/>
      <c r="BX344" s="87"/>
      <c r="BY344" s="87"/>
      <c r="BZ344" s="87"/>
      <c r="CA344" s="90"/>
      <c r="CB344" s="90"/>
      <c r="CC344" s="90"/>
      <c r="CD344" s="90"/>
      <c r="CE344" s="90"/>
      <c r="CF344" s="90"/>
      <c r="CG344" s="85"/>
      <c r="CH344" s="85"/>
      <c r="CI344" s="85"/>
      <c r="CJ344" s="85"/>
      <c r="CK344" s="85"/>
      <c r="CL344" s="87"/>
      <c r="CM344" s="87"/>
      <c r="CN344" s="87"/>
      <c r="CO344" s="87"/>
      <c r="CP344" s="90"/>
      <c r="CQ344" s="90"/>
      <c r="CR344" s="90"/>
      <c r="CS344" s="90"/>
      <c r="CT344" s="85"/>
      <c r="CU344" s="85"/>
      <c r="CV344" s="85"/>
      <c r="CW344" s="85"/>
      <c r="CX344" s="85"/>
      <c r="CY344" s="85"/>
      <c r="CZ344" s="85"/>
      <c r="DA344" s="33">
        <f t="shared" si="4"/>
        <v>0</v>
      </c>
    </row>
    <row r="345" spans="36:105" ht="19" x14ac:dyDescent="0.25">
      <c r="AJ345" s="63"/>
      <c r="AK345" s="20"/>
      <c r="AL345" s="21"/>
      <c r="AM345" s="22"/>
      <c r="AN345" s="23"/>
      <c r="AO345" s="24"/>
      <c r="AP345" s="25"/>
      <c r="AQ345" s="26"/>
      <c r="AR345" s="27"/>
      <c r="AS345" s="192"/>
      <c r="AT345" s="111"/>
      <c r="AU345" s="193"/>
      <c r="AV345" s="140"/>
      <c r="AW345" s="118"/>
      <c r="AX345" s="141"/>
      <c r="AY345" s="149"/>
      <c r="AZ345" s="121"/>
      <c r="BA345" s="150"/>
      <c r="BB345" s="158"/>
      <c r="BC345" s="124"/>
      <c r="BD345" s="159"/>
      <c r="BE345" s="167"/>
      <c r="BF345" s="85"/>
      <c r="BG345" s="168"/>
      <c r="BH345" s="175"/>
      <c r="BI345" s="127"/>
      <c r="BJ345" s="176"/>
      <c r="BK345" s="184"/>
      <c r="BL345" s="130"/>
      <c r="BM345" s="185"/>
      <c r="BN345" s="69"/>
      <c r="BO345" s="85"/>
      <c r="BP345" s="85"/>
      <c r="BQ345" s="85"/>
      <c r="BR345" s="85"/>
      <c r="BS345" s="85"/>
      <c r="BT345" s="85"/>
      <c r="BU345" s="87"/>
      <c r="BV345" s="87"/>
      <c r="BW345" s="87"/>
      <c r="BX345" s="87"/>
      <c r="BY345" s="87"/>
      <c r="BZ345" s="87"/>
      <c r="CA345" s="90"/>
      <c r="CB345" s="90"/>
      <c r="CC345" s="90"/>
      <c r="CD345" s="90"/>
      <c r="CE345" s="90"/>
      <c r="CF345" s="90"/>
      <c r="CG345" s="85"/>
      <c r="CH345" s="85"/>
      <c r="CI345" s="85"/>
      <c r="CJ345" s="85"/>
      <c r="CK345" s="85"/>
      <c r="CL345" s="87"/>
      <c r="CM345" s="87"/>
      <c r="CN345" s="87"/>
      <c r="CO345" s="87"/>
      <c r="CP345" s="90"/>
      <c r="CQ345" s="90"/>
      <c r="CR345" s="90"/>
      <c r="CS345" s="90"/>
      <c r="CT345" s="85"/>
      <c r="CU345" s="85"/>
      <c r="CV345" s="85"/>
      <c r="CW345" s="85"/>
      <c r="CX345" s="85"/>
      <c r="CY345" s="85"/>
      <c r="CZ345" s="85"/>
      <c r="DA345" s="33">
        <f t="shared" si="4"/>
        <v>0</v>
      </c>
    </row>
    <row r="346" spans="36:105" ht="19" x14ac:dyDescent="0.25">
      <c r="AJ346" s="63"/>
      <c r="AK346" s="20"/>
      <c r="AL346" s="21"/>
      <c r="AM346" s="22"/>
      <c r="AN346" s="23"/>
      <c r="AO346" s="24"/>
      <c r="AP346" s="25"/>
      <c r="AQ346" s="26"/>
      <c r="AR346" s="27"/>
      <c r="AS346" s="192"/>
      <c r="AT346" s="111"/>
      <c r="AU346" s="193"/>
      <c r="AV346" s="140"/>
      <c r="AW346" s="118"/>
      <c r="AX346" s="141"/>
      <c r="AY346" s="149"/>
      <c r="AZ346" s="121"/>
      <c r="BA346" s="150"/>
      <c r="BB346" s="158"/>
      <c r="BC346" s="124"/>
      <c r="BD346" s="159"/>
      <c r="BE346" s="167"/>
      <c r="BF346" s="85"/>
      <c r="BG346" s="168"/>
      <c r="BH346" s="175"/>
      <c r="BI346" s="127"/>
      <c r="BJ346" s="176"/>
      <c r="BK346" s="184"/>
      <c r="BL346" s="130"/>
      <c r="BM346" s="185"/>
      <c r="BN346" s="69"/>
      <c r="BO346" s="85"/>
      <c r="BP346" s="85"/>
      <c r="BQ346" s="85"/>
      <c r="BR346" s="85"/>
      <c r="BS346" s="85"/>
      <c r="BT346" s="85"/>
      <c r="BU346" s="87"/>
      <c r="BV346" s="87"/>
      <c r="BW346" s="87"/>
      <c r="BX346" s="87"/>
      <c r="BY346" s="87"/>
      <c r="BZ346" s="87"/>
      <c r="CA346" s="90"/>
      <c r="CB346" s="90"/>
      <c r="CC346" s="90"/>
      <c r="CD346" s="90"/>
      <c r="CE346" s="90"/>
      <c r="CF346" s="90"/>
      <c r="CG346" s="85"/>
      <c r="CH346" s="85"/>
      <c r="CI346" s="85"/>
      <c r="CJ346" s="85"/>
      <c r="CK346" s="85"/>
      <c r="CL346" s="87"/>
      <c r="CM346" s="87"/>
      <c r="CN346" s="87"/>
      <c r="CO346" s="87"/>
      <c r="CP346" s="90"/>
      <c r="CQ346" s="90"/>
      <c r="CR346" s="90"/>
      <c r="CS346" s="90"/>
      <c r="CT346" s="85"/>
      <c r="CU346" s="85"/>
      <c r="CV346" s="85"/>
      <c r="CW346" s="85"/>
      <c r="CX346" s="85"/>
      <c r="CY346" s="85"/>
      <c r="CZ346" s="85"/>
      <c r="DA346" s="33">
        <f t="shared" si="4"/>
        <v>0</v>
      </c>
    </row>
    <row r="347" spans="36:105" ht="19" x14ac:dyDescent="0.25">
      <c r="AJ347" s="63"/>
      <c r="AK347" s="20"/>
      <c r="AL347" s="21"/>
      <c r="AM347" s="22"/>
      <c r="AN347" s="23"/>
      <c r="AO347" s="24"/>
      <c r="AP347" s="25"/>
      <c r="AQ347" s="26"/>
      <c r="AR347" s="27"/>
      <c r="AS347" s="192"/>
      <c r="AT347" s="111"/>
      <c r="AU347" s="193"/>
      <c r="AV347" s="140"/>
      <c r="AW347" s="118"/>
      <c r="AX347" s="141"/>
      <c r="AY347" s="149"/>
      <c r="AZ347" s="121"/>
      <c r="BA347" s="150"/>
      <c r="BB347" s="158"/>
      <c r="BC347" s="124"/>
      <c r="BD347" s="159"/>
      <c r="BE347" s="167"/>
      <c r="BF347" s="85"/>
      <c r="BG347" s="168"/>
      <c r="BH347" s="175"/>
      <c r="BI347" s="127"/>
      <c r="BJ347" s="176"/>
      <c r="BK347" s="184"/>
      <c r="BL347" s="130"/>
      <c r="BM347" s="185"/>
      <c r="BN347" s="69"/>
      <c r="BO347" s="85"/>
      <c r="BP347" s="85"/>
      <c r="BQ347" s="85"/>
      <c r="BR347" s="85"/>
      <c r="BS347" s="85"/>
      <c r="BT347" s="85"/>
      <c r="BU347" s="87"/>
      <c r="BV347" s="87"/>
      <c r="BW347" s="87"/>
      <c r="BX347" s="87"/>
      <c r="BY347" s="87"/>
      <c r="BZ347" s="87"/>
      <c r="CA347" s="90"/>
      <c r="CB347" s="90"/>
      <c r="CC347" s="90"/>
      <c r="CD347" s="90"/>
      <c r="CE347" s="90"/>
      <c r="CF347" s="90"/>
      <c r="CG347" s="85"/>
      <c r="CH347" s="85"/>
      <c r="CI347" s="85"/>
      <c r="CJ347" s="85"/>
      <c r="CK347" s="85"/>
      <c r="CL347" s="87"/>
      <c r="CM347" s="87"/>
      <c r="CN347" s="87"/>
      <c r="CO347" s="87"/>
      <c r="CP347" s="90"/>
      <c r="CQ347" s="90"/>
      <c r="CR347" s="90"/>
      <c r="CS347" s="90"/>
      <c r="CT347" s="85"/>
      <c r="CU347" s="85"/>
      <c r="CV347" s="85"/>
      <c r="CW347" s="85"/>
      <c r="CX347" s="85"/>
      <c r="CY347" s="85"/>
      <c r="CZ347" s="85"/>
      <c r="DA347" s="33">
        <f t="shared" si="4"/>
        <v>0</v>
      </c>
    </row>
    <row r="348" spans="36:105" ht="19" x14ac:dyDescent="0.25">
      <c r="AJ348" s="63"/>
      <c r="AK348" s="20"/>
      <c r="AL348" s="21"/>
      <c r="AM348" s="22"/>
      <c r="AN348" s="23"/>
      <c r="AO348" s="24"/>
      <c r="AP348" s="25"/>
      <c r="AQ348" s="26"/>
      <c r="AR348" s="27"/>
      <c r="AS348" s="192"/>
      <c r="AT348" s="111"/>
      <c r="AU348" s="193"/>
      <c r="AV348" s="140"/>
      <c r="AW348" s="118"/>
      <c r="AX348" s="141"/>
      <c r="AY348" s="149"/>
      <c r="AZ348" s="121"/>
      <c r="BA348" s="150"/>
      <c r="BB348" s="158"/>
      <c r="BC348" s="124"/>
      <c r="BD348" s="159"/>
      <c r="BE348" s="167"/>
      <c r="BF348" s="85"/>
      <c r="BG348" s="168"/>
      <c r="BH348" s="175"/>
      <c r="BI348" s="127"/>
      <c r="BJ348" s="176"/>
      <c r="BK348" s="184"/>
      <c r="BL348" s="130"/>
      <c r="BM348" s="185"/>
      <c r="BN348" s="69"/>
      <c r="BO348" s="85"/>
      <c r="BP348" s="85"/>
      <c r="BQ348" s="85"/>
      <c r="BR348" s="85"/>
      <c r="BS348" s="85"/>
      <c r="BT348" s="85"/>
      <c r="BU348" s="87"/>
      <c r="BV348" s="87"/>
      <c r="BW348" s="87"/>
      <c r="BX348" s="87"/>
      <c r="BY348" s="87"/>
      <c r="BZ348" s="87"/>
      <c r="CA348" s="90"/>
      <c r="CB348" s="90"/>
      <c r="CC348" s="90"/>
      <c r="CD348" s="90"/>
      <c r="CE348" s="90"/>
      <c r="CF348" s="90"/>
      <c r="CG348" s="85"/>
      <c r="CH348" s="85"/>
      <c r="CI348" s="85"/>
      <c r="CJ348" s="85"/>
      <c r="CK348" s="85"/>
      <c r="CL348" s="87"/>
      <c r="CM348" s="87"/>
      <c r="CN348" s="87"/>
      <c r="CO348" s="87"/>
      <c r="CP348" s="90"/>
      <c r="CQ348" s="90"/>
      <c r="CR348" s="90"/>
      <c r="CS348" s="90"/>
      <c r="CT348" s="85"/>
      <c r="CU348" s="85"/>
      <c r="CV348" s="85"/>
      <c r="CW348" s="85"/>
      <c r="CX348" s="85"/>
      <c r="CY348" s="85"/>
      <c r="CZ348" s="85"/>
      <c r="DA348" s="33">
        <f t="shared" si="4"/>
        <v>0</v>
      </c>
    </row>
    <row r="349" spans="36:105" ht="19" x14ac:dyDescent="0.25">
      <c r="AJ349" s="63"/>
      <c r="AK349" s="20"/>
      <c r="AL349" s="21"/>
      <c r="AM349" s="22"/>
      <c r="AN349" s="23"/>
      <c r="AO349" s="24"/>
      <c r="AP349" s="25"/>
      <c r="AQ349" s="26"/>
      <c r="AR349" s="27"/>
      <c r="AS349" s="192"/>
      <c r="AT349" s="111"/>
      <c r="AU349" s="193"/>
      <c r="AV349" s="140"/>
      <c r="AW349" s="118"/>
      <c r="AX349" s="141"/>
      <c r="AY349" s="149"/>
      <c r="AZ349" s="121"/>
      <c r="BA349" s="150"/>
      <c r="BB349" s="158"/>
      <c r="BC349" s="124"/>
      <c r="BD349" s="159"/>
      <c r="BE349" s="167"/>
      <c r="BF349" s="85"/>
      <c r="BG349" s="168"/>
      <c r="BH349" s="175"/>
      <c r="BI349" s="127"/>
      <c r="BJ349" s="176"/>
      <c r="BK349" s="184"/>
      <c r="BL349" s="130"/>
      <c r="BM349" s="185"/>
      <c r="BN349" s="69"/>
      <c r="BO349" s="85"/>
      <c r="BP349" s="85"/>
      <c r="BQ349" s="85"/>
      <c r="BR349" s="85"/>
      <c r="BS349" s="85"/>
      <c r="BT349" s="85"/>
      <c r="BU349" s="87"/>
      <c r="BV349" s="87"/>
      <c r="BW349" s="87"/>
      <c r="BX349" s="87"/>
      <c r="BY349" s="87"/>
      <c r="BZ349" s="87"/>
      <c r="CA349" s="90"/>
      <c r="CB349" s="90"/>
      <c r="CC349" s="90"/>
      <c r="CD349" s="90"/>
      <c r="CE349" s="90"/>
      <c r="CF349" s="90"/>
      <c r="CG349" s="85"/>
      <c r="CH349" s="85"/>
      <c r="CI349" s="85"/>
      <c r="CJ349" s="85"/>
      <c r="CK349" s="85"/>
      <c r="CL349" s="87"/>
      <c r="CM349" s="87"/>
      <c r="CN349" s="87"/>
      <c r="CO349" s="87"/>
      <c r="CP349" s="90"/>
      <c r="CQ349" s="90"/>
      <c r="CR349" s="90"/>
      <c r="CS349" s="90"/>
      <c r="CT349" s="85"/>
      <c r="CU349" s="85"/>
      <c r="CV349" s="85"/>
      <c r="CW349" s="85"/>
      <c r="CX349" s="85"/>
      <c r="CY349" s="85"/>
      <c r="CZ349" s="85"/>
      <c r="DA349" s="33">
        <f t="shared" si="4"/>
        <v>0</v>
      </c>
    </row>
    <row r="350" spans="36:105" ht="19" x14ac:dyDescent="0.25">
      <c r="AJ350" s="63"/>
      <c r="AK350" s="20"/>
      <c r="AL350" s="21"/>
      <c r="AM350" s="22"/>
      <c r="AN350" s="23"/>
      <c r="AO350" s="24"/>
      <c r="AP350" s="25"/>
      <c r="AQ350" s="26"/>
      <c r="AR350" s="27"/>
      <c r="AS350" s="192"/>
      <c r="AT350" s="111"/>
      <c r="AU350" s="193"/>
      <c r="AV350" s="140"/>
      <c r="AW350" s="118"/>
      <c r="AX350" s="141"/>
      <c r="AY350" s="149"/>
      <c r="AZ350" s="121"/>
      <c r="BA350" s="150"/>
      <c r="BB350" s="158"/>
      <c r="BC350" s="124"/>
      <c r="BD350" s="159"/>
      <c r="BE350" s="167"/>
      <c r="BF350" s="85"/>
      <c r="BG350" s="168"/>
      <c r="BH350" s="175"/>
      <c r="BI350" s="127"/>
      <c r="BJ350" s="176"/>
      <c r="BK350" s="184"/>
      <c r="BL350" s="130"/>
      <c r="BM350" s="185"/>
      <c r="BN350" s="69"/>
      <c r="BO350" s="85"/>
      <c r="BP350" s="85"/>
      <c r="BQ350" s="85"/>
      <c r="BR350" s="85"/>
      <c r="BS350" s="85"/>
      <c r="BT350" s="85"/>
      <c r="BU350" s="87"/>
      <c r="BV350" s="87"/>
      <c r="BW350" s="87"/>
      <c r="BX350" s="87"/>
      <c r="BY350" s="87"/>
      <c r="BZ350" s="87"/>
      <c r="CA350" s="90"/>
      <c r="CB350" s="90"/>
      <c r="CC350" s="90"/>
      <c r="CD350" s="90"/>
      <c r="CE350" s="90"/>
      <c r="CF350" s="90"/>
      <c r="CG350" s="85"/>
      <c r="CH350" s="85"/>
      <c r="CI350" s="85"/>
      <c r="CJ350" s="85"/>
      <c r="CK350" s="85"/>
      <c r="CL350" s="87"/>
      <c r="CM350" s="87"/>
      <c r="CN350" s="87"/>
      <c r="CO350" s="87"/>
      <c r="CP350" s="90"/>
      <c r="CQ350" s="90"/>
      <c r="CR350" s="90"/>
      <c r="CS350" s="90"/>
      <c r="CT350" s="85"/>
      <c r="CU350" s="85"/>
      <c r="CV350" s="85"/>
      <c r="CW350" s="85"/>
      <c r="CX350" s="85"/>
      <c r="CY350" s="85"/>
      <c r="CZ350" s="85"/>
      <c r="DA350" s="33">
        <f t="shared" si="4"/>
        <v>0</v>
      </c>
    </row>
    <row r="351" spans="36:105" ht="19" x14ac:dyDescent="0.25">
      <c r="AJ351" s="63"/>
      <c r="AK351" s="20"/>
      <c r="AL351" s="21"/>
      <c r="AM351" s="22"/>
      <c r="AN351" s="23"/>
      <c r="AO351" s="24"/>
      <c r="AP351" s="25"/>
      <c r="AQ351" s="26"/>
      <c r="AR351" s="27"/>
      <c r="AS351" s="192"/>
      <c r="AT351" s="111"/>
      <c r="AU351" s="193"/>
      <c r="AV351" s="140"/>
      <c r="AW351" s="118"/>
      <c r="AX351" s="141"/>
      <c r="AY351" s="149"/>
      <c r="AZ351" s="121"/>
      <c r="BA351" s="150"/>
      <c r="BB351" s="158"/>
      <c r="BC351" s="124"/>
      <c r="BD351" s="159"/>
      <c r="BE351" s="167"/>
      <c r="BF351" s="85"/>
      <c r="BG351" s="168"/>
      <c r="BH351" s="175"/>
      <c r="BI351" s="127"/>
      <c r="BJ351" s="176"/>
      <c r="BK351" s="184"/>
      <c r="BL351" s="130"/>
      <c r="BM351" s="185"/>
      <c r="BN351" s="69"/>
      <c r="BO351" s="85"/>
      <c r="BP351" s="85"/>
      <c r="BQ351" s="85"/>
      <c r="BR351" s="85"/>
      <c r="BS351" s="85"/>
      <c r="BT351" s="85"/>
      <c r="BU351" s="87"/>
      <c r="BV351" s="87"/>
      <c r="BW351" s="87"/>
      <c r="BX351" s="87"/>
      <c r="BY351" s="87"/>
      <c r="BZ351" s="87"/>
      <c r="CA351" s="90"/>
      <c r="CB351" s="90"/>
      <c r="CC351" s="90"/>
      <c r="CD351" s="90"/>
      <c r="CE351" s="90"/>
      <c r="CF351" s="90"/>
      <c r="CG351" s="85"/>
      <c r="CH351" s="85"/>
      <c r="CI351" s="85"/>
      <c r="CJ351" s="85"/>
      <c r="CK351" s="85"/>
      <c r="CL351" s="87"/>
      <c r="CM351" s="87"/>
      <c r="CN351" s="87"/>
      <c r="CO351" s="87"/>
      <c r="CP351" s="90"/>
      <c r="CQ351" s="90"/>
      <c r="CR351" s="90"/>
      <c r="CS351" s="90"/>
      <c r="CT351" s="85"/>
      <c r="CU351" s="85"/>
      <c r="CV351" s="85"/>
      <c r="CW351" s="85"/>
      <c r="CX351" s="85"/>
      <c r="CY351" s="85"/>
      <c r="CZ351" s="85"/>
      <c r="DA351" s="33">
        <f t="shared" si="4"/>
        <v>0</v>
      </c>
    </row>
    <row r="352" spans="36:105" ht="19" x14ac:dyDescent="0.25">
      <c r="AJ352" s="63"/>
      <c r="AK352" s="20"/>
      <c r="AL352" s="21"/>
      <c r="AM352" s="22"/>
      <c r="AN352" s="23"/>
      <c r="AO352" s="24"/>
      <c r="AP352" s="25"/>
      <c r="AQ352" s="26"/>
      <c r="AR352" s="27"/>
      <c r="AS352" s="192"/>
      <c r="AT352" s="111"/>
      <c r="AU352" s="193"/>
      <c r="AV352" s="140"/>
      <c r="AW352" s="118"/>
      <c r="AX352" s="141"/>
      <c r="AY352" s="149"/>
      <c r="AZ352" s="121"/>
      <c r="BA352" s="150"/>
      <c r="BB352" s="158"/>
      <c r="BC352" s="124"/>
      <c r="BD352" s="159"/>
      <c r="BE352" s="167"/>
      <c r="BF352" s="85"/>
      <c r="BG352" s="168"/>
      <c r="BH352" s="175"/>
      <c r="BI352" s="127"/>
      <c r="BJ352" s="176"/>
      <c r="BK352" s="184"/>
      <c r="BL352" s="130"/>
      <c r="BM352" s="185"/>
      <c r="BN352" s="69"/>
      <c r="BO352" s="85"/>
      <c r="BP352" s="85"/>
      <c r="BQ352" s="85"/>
      <c r="BR352" s="85"/>
      <c r="BS352" s="85"/>
      <c r="BT352" s="85"/>
      <c r="BU352" s="87"/>
      <c r="BV352" s="87"/>
      <c r="BW352" s="87"/>
      <c r="BX352" s="87"/>
      <c r="BY352" s="87"/>
      <c r="BZ352" s="87"/>
      <c r="CA352" s="90"/>
      <c r="CB352" s="90"/>
      <c r="CC352" s="90"/>
      <c r="CD352" s="90"/>
      <c r="CE352" s="90"/>
      <c r="CF352" s="90"/>
      <c r="CG352" s="85"/>
      <c r="CH352" s="85"/>
      <c r="CI352" s="85"/>
      <c r="CJ352" s="85"/>
      <c r="CK352" s="85"/>
      <c r="CL352" s="87"/>
      <c r="CM352" s="87"/>
      <c r="CN352" s="87"/>
      <c r="CO352" s="87"/>
      <c r="CP352" s="90"/>
      <c r="CQ352" s="90"/>
      <c r="CR352" s="90"/>
      <c r="CS352" s="90"/>
      <c r="CT352" s="85"/>
      <c r="CU352" s="85"/>
      <c r="CV352" s="85"/>
      <c r="CW352" s="85"/>
      <c r="CX352" s="85"/>
      <c r="CY352" s="85"/>
      <c r="CZ352" s="85"/>
      <c r="DA352" s="33">
        <f t="shared" si="4"/>
        <v>0</v>
      </c>
    </row>
    <row r="353" spans="36:105" ht="19" x14ac:dyDescent="0.25">
      <c r="AJ353" s="63"/>
      <c r="AK353" s="20"/>
      <c r="AL353" s="21"/>
      <c r="AM353" s="22"/>
      <c r="AN353" s="23"/>
      <c r="AO353" s="24"/>
      <c r="AP353" s="25"/>
      <c r="AQ353" s="26"/>
      <c r="AR353" s="27"/>
      <c r="AS353" s="192"/>
      <c r="AT353" s="111"/>
      <c r="AU353" s="193"/>
      <c r="AV353" s="140"/>
      <c r="AW353" s="118"/>
      <c r="AX353" s="141"/>
      <c r="AY353" s="149"/>
      <c r="AZ353" s="121"/>
      <c r="BA353" s="150"/>
      <c r="BB353" s="158"/>
      <c r="BC353" s="124"/>
      <c r="BD353" s="159"/>
      <c r="BE353" s="167"/>
      <c r="BF353" s="85"/>
      <c r="BG353" s="168"/>
      <c r="BH353" s="175"/>
      <c r="BI353" s="127"/>
      <c r="BJ353" s="176"/>
      <c r="BK353" s="184"/>
      <c r="BL353" s="130"/>
      <c r="BM353" s="185"/>
      <c r="BN353" s="69"/>
      <c r="BO353" s="85"/>
      <c r="BP353" s="85"/>
      <c r="BQ353" s="85"/>
      <c r="BR353" s="85"/>
      <c r="BS353" s="85"/>
      <c r="BT353" s="85"/>
      <c r="BU353" s="87"/>
      <c r="BV353" s="87"/>
      <c r="BW353" s="87"/>
      <c r="BX353" s="87"/>
      <c r="BY353" s="87"/>
      <c r="BZ353" s="87"/>
      <c r="CA353" s="90"/>
      <c r="CB353" s="90"/>
      <c r="CC353" s="90"/>
      <c r="CD353" s="90"/>
      <c r="CE353" s="90"/>
      <c r="CF353" s="90"/>
      <c r="CG353" s="85"/>
      <c r="CH353" s="85"/>
      <c r="CI353" s="85"/>
      <c r="CJ353" s="85"/>
      <c r="CK353" s="85"/>
      <c r="CL353" s="87"/>
      <c r="CM353" s="87"/>
      <c r="CN353" s="87"/>
      <c r="CO353" s="87"/>
      <c r="CP353" s="90"/>
      <c r="CQ353" s="90"/>
      <c r="CR353" s="90"/>
      <c r="CS353" s="90"/>
      <c r="CT353" s="85"/>
      <c r="CU353" s="85"/>
      <c r="CV353" s="85"/>
      <c r="CW353" s="85"/>
      <c r="CX353" s="85"/>
      <c r="CY353" s="85"/>
      <c r="CZ353" s="85"/>
      <c r="DA353" s="33">
        <f t="shared" si="4"/>
        <v>0</v>
      </c>
    </row>
    <row r="354" spans="36:105" ht="19" x14ac:dyDescent="0.25">
      <c r="AJ354" s="63"/>
      <c r="AK354" s="20"/>
      <c r="AL354" s="21"/>
      <c r="AM354" s="22"/>
      <c r="AN354" s="23"/>
      <c r="AO354" s="24"/>
      <c r="AP354" s="25"/>
      <c r="AQ354" s="26"/>
      <c r="AR354" s="27"/>
      <c r="AS354" s="192"/>
      <c r="AT354" s="111"/>
      <c r="AU354" s="193"/>
      <c r="AV354" s="140"/>
      <c r="AW354" s="118"/>
      <c r="AX354" s="141"/>
      <c r="AY354" s="149"/>
      <c r="AZ354" s="121"/>
      <c r="BA354" s="150"/>
      <c r="BB354" s="158"/>
      <c r="BC354" s="124"/>
      <c r="BD354" s="159"/>
      <c r="BE354" s="167"/>
      <c r="BF354" s="85"/>
      <c r="BG354" s="168"/>
      <c r="BH354" s="175"/>
      <c r="BI354" s="127"/>
      <c r="BJ354" s="176"/>
      <c r="BK354" s="184"/>
      <c r="BL354" s="130"/>
      <c r="BM354" s="185"/>
      <c r="BN354" s="69"/>
      <c r="BO354" s="85"/>
      <c r="BP354" s="85"/>
      <c r="BQ354" s="85"/>
      <c r="BR354" s="85"/>
      <c r="BS354" s="85"/>
      <c r="BT354" s="85"/>
      <c r="BU354" s="87"/>
      <c r="BV354" s="87"/>
      <c r="BW354" s="87"/>
      <c r="BX354" s="87"/>
      <c r="BY354" s="87"/>
      <c r="BZ354" s="87"/>
      <c r="CA354" s="90"/>
      <c r="CB354" s="90"/>
      <c r="CC354" s="90"/>
      <c r="CD354" s="90"/>
      <c r="CE354" s="90"/>
      <c r="CF354" s="90"/>
      <c r="CG354" s="85"/>
      <c r="CH354" s="85"/>
      <c r="CI354" s="85"/>
      <c r="CJ354" s="85"/>
      <c r="CK354" s="85"/>
      <c r="CL354" s="87"/>
      <c r="CM354" s="87"/>
      <c r="CN354" s="87"/>
      <c r="CO354" s="87"/>
      <c r="CP354" s="90"/>
      <c r="CQ354" s="90"/>
      <c r="CR354" s="90"/>
      <c r="CS354" s="90"/>
      <c r="CT354" s="85"/>
      <c r="CU354" s="85"/>
      <c r="CV354" s="85"/>
      <c r="CW354" s="85"/>
      <c r="CX354" s="85"/>
      <c r="CY354" s="85"/>
      <c r="CZ354" s="85"/>
      <c r="DA354" s="33">
        <f t="shared" si="4"/>
        <v>0</v>
      </c>
    </row>
    <row r="355" spans="36:105" ht="19" x14ac:dyDescent="0.25">
      <c r="AJ355" s="63"/>
      <c r="AK355" s="20"/>
      <c r="AL355" s="21"/>
      <c r="AM355" s="22"/>
      <c r="AN355" s="23"/>
      <c r="AO355" s="24"/>
      <c r="AP355" s="25"/>
      <c r="AQ355" s="26"/>
      <c r="AR355" s="27"/>
      <c r="AS355" s="192"/>
      <c r="AT355" s="111"/>
      <c r="AU355" s="193"/>
      <c r="AV355" s="140"/>
      <c r="AW355" s="118"/>
      <c r="AX355" s="141"/>
      <c r="AY355" s="149"/>
      <c r="AZ355" s="121"/>
      <c r="BA355" s="150"/>
      <c r="BB355" s="158"/>
      <c r="BC355" s="124"/>
      <c r="BD355" s="159"/>
      <c r="BE355" s="167"/>
      <c r="BF355" s="85"/>
      <c r="BG355" s="168"/>
      <c r="BH355" s="175"/>
      <c r="BI355" s="127"/>
      <c r="BJ355" s="176"/>
      <c r="BK355" s="184"/>
      <c r="BL355" s="130"/>
      <c r="BM355" s="185"/>
      <c r="BN355" s="69"/>
      <c r="BO355" s="85"/>
      <c r="BP355" s="85"/>
      <c r="BQ355" s="85"/>
      <c r="BR355" s="85"/>
      <c r="BS355" s="85"/>
      <c r="BT355" s="85"/>
      <c r="BU355" s="87"/>
      <c r="BV355" s="87"/>
      <c r="BW355" s="87"/>
      <c r="BX355" s="87"/>
      <c r="BY355" s="87"/>
      <c r="BZ355" s="87"/>
      <c r="CA355" s="90"/>
      <c r="CB355" s="90"/>
      <c r="CC355" s="90"/>
      <c r="CD355" s="90"/>
      <c r="CE355" s="90"/>
      <c r="CF355" s="90"/>
      <c r="CG355" s="85"/>
      <c r="CH355" s="85"/>
      <c r="CI355" s="85"/>
      <c r="CJ355" s="85"/>
      <c r="CK355" s="85"/>
      <c r="CL355" s="87"/>
      <c r="CM355" s="87"/>
      <c r="CN355" s="87"/>
      <c r="CO355" s="87"/>
      <c r="CP355" s="90"/>
      <c r="CQ355" s="90"/>
      <c r="CR355" s="90"/>
      <c r="CS355" s="90"/>
      <c r="CT355" s="85"/>
      <c r="CU355" s="85"/>
      <c r="CV355" s="85"/>
      <c r="CW355" s="85"/>
      <c r="CX355" s="85"/>
      <c r="CY355" s="85"/>
      <c r="CZ355" s="85"/>
      <c r="DA355" s="33">
        <f t="shared" si="4"/>
        <v>0</v>
      </c>
    </row>
    <row r="356" spans="36:105" ht="19" x14ac:dyDescent="0.25">
      <c r="AJ356" s="63"/>
      <c r="AK356" s="20"/>
      <c r="AL356" s="21"/>
      <c r="AM356" s="22"/>
      <c r="AN356" s="23"/>
      <c r="AO356" s="24"/>
      <c r="AP356" s="25"/>
      <c r="AQ356" s="26"/>
      <c r="AR356" s="27"/>
      <c r="AS356" s="192"/>
      <c r="AT356" s="111"/>
      <c r="AU356" s="193"/>
      <c r="AV356" s="140"/>
      <c r="AW356" s="118"/>
      <c r="AX356" s="141"/>
      <c r="AY356" s="149"/>
      <c r="AZ356" s="121"/>
      <c r="BA356" s="150"/>
      <c r="BB356" s="158"/>
      <c r="BC356" s="124"/>
      <c r="BD356" s="159"/>
      <c r="BE356" s="167"/>
      <c r="BF356" s="85"/>
      <c r="BG356" s="168"/>
      <c r="BH356" s="175"/>
      <c r="BI356" s="127"/>
      <c r="BJ356" s="176"/>
      <c r="BK356" s="184"/>
      <c r="BL356" s="130"/>
      <c r="BM356" s="185"/>
      <c r="BN356" s="69"/>
      <c r="BO356" s="85"/>
      <c r="BP356" s="85"/>
      <c r="BQ356" s="85"/>
      <c r="BR356" s="85"/>
      <c r="BS356" s="85"/>
      <c r="BT356" s="85"/>
      <c r="BU356" s="87"/>
      <c r="BV356" s="87"/>
      <c r="BW356" s="87"/>
      <c r="BX356" s="87"/>
      <c r="BY356" s="87"/>
      <c r="BZ356" s="87"/>
      <c r="CA356" s="90"/>
      <c r="CB356" s="90"/>
      <c r="CC356" s="90"/>
      <c r="CD356" s="90"/>
      <c r="CE356" s="90"/>
      <c r="CF356" s="90"/>
      <c r="CG356" s="85"/>
      <c r="CH356" s="85"/>
      <c r="CI356" s="85"/>
      <c r="CJ356" s="85"/>
      <c r="CK356" s="85"/>
      <c r="CL356" s="87"/>
      <c r="CM356" s="87"/>
      <c r="CN356" s="87"/>
      <c r="CO356" s="87"/>
      <c r="CP356" s="90"/>
      <c r="CQ356" s="90"/>
      <c r="CR356" s="90"/>
      <c r="CS356" s="90"/>
      <c r="CT356" s="85"/>
      <c r="CU356" s="85"/>
      <c r="CV356" s="85"/>
      <c r="CW356" s="85"/>
      <c r="CX356" s="85"/>
      <c r="CY356" s="85"/>
      <c r="CZ356" s="85"/>
      <c r="DA356" s="33">
        <f t="shared" si="4"/>
        <v>0</v>
      </c>
    </row>
    <row r="357" spans="36:105" ht="19" x14ac:dyDescent="0.25">
      <c r="AJ357" s="63"/>
      <c r="AK357" s="20"/>
      <c r="AL357" s="21"/>
      <c r="AM357" s="22"/>
      <c r="AN357" s="23"/>
      <c r="AO357" s="24"/>
      <c r="AP357" s="25"/>
      <c r="AQ357" s="26"/>
      <c r="AR357" s="27"/>
      <c r="AS357" s="192"/>
      <c r="AT357" s="111"/>
      <c r="AU357" s="193"/>
      <c r="AV357" s="140"/>
      <c r="AW357" s="118"/>
      <c r="AX357" s="141"/>
      <c r="AY357" s="149"/>
      <c r="AZ357" s="121"/>
      <c r="BA357" s="150"/>
      <c r="BB357" s="158"/>
      <c r="BC357" s="124"/>
      <c r="BD357" s="159"/>
      <c r="BE357" s="167"/>
      <c r="BF357" s="85"/>
      <c r="BG357" s="168"/>
      <c r="BH357" s="175"/>
      <c r="BI357" s="127"/>
      <c r="BJ357" s="176"/>
      <c r="BK357" s="184"/>
      <c r="BL357" s="130"/>
      <c r="BM357" s="185"/>
      <c r="BN357" s="69"/>
      <c r="BO357" s="85"/>
      <c r="BP357" s="85"/>
      <c r="BQ357" s="85"/>
      <c r="BR357" s="85"/>
      <c r="BS357" s="85"/>
      <c r="BT357" s="85"/>
      <c r="BU357" s="87"/>
      <c r="BV357" s="87"/>
      <c r="BW357" s="87"/>
      <c r="BX357" s="87"/>
      <c r="BY357" s="87"/>
      <c r="BZ357" s="87"/>
      <c r="CA357" s="90"/>
      <c r="CB357" s="90"/>
      <c r="CC357" s="90"/>
      <c r="CD357" s="90"/>
      <c r="CE357" s="90"/>
      <c r="CF357" s="90"/>
      <c r="CG357" s="85"/>
      <c r="CH357" s="85"/>
      <c r="CI357" s="85"/>
      <c r="CJ357" s="85"/>
      <c r="CK357" s="85"/>
      <c r="CL357" s="87"/>
      <c r="CM357" s="87"/>
      <c r="CN357" s="87"/>
      <c r="CO357" s="87"/>
      <c r="CP357" s="90"/>
      <c r="CQ357" s="90"/>
      <c r="CR357" s="90"/>
      <c r="CS357" s="90"/>
      <c r="CT357" s="85"/>
      <c r="CU357" s="85"/>
      <c r="CV357" s="85"/>
      <c r="CW357" s="85"/>
      <c r="CX357" s="85"/>
      <c r="CY357" s="85"/>
      <c r="CZ357" s="85"/>
      <c r="DA357" s="33">
        <f t="shared" si="4"/>
        <v>0</v>
      </c>
    </row>
    <row r="358" spans="36:105" ht="19" x14ac:dyDescent="0.25">
      <c r="AJ358" s="63"/>
      <c r="AK358" s="20"/>
      <c r="AL358" s="21"/>
      <c r="AM358" s="22"/>
      <c r="AN358" s="23"/>
      <c r="AO358" s="24"/>
      <c r="AP358" s="25"/>
      <c r="AQ358" s="26"/>
      <c r="AR358" s="27"/>
      <c r="AS358" s="192"/>
      <c r="AT358" s="111"/>
      <c r="AU358" s="193"/>
      <c r="AV358" s="140"/>
      <c r="AW358" s="118"/>
      <c r="AX358" s="141"/>
      <c r="AY358" s="149"/>
      <c r="AZ358" s="121"/>
      <c r="BA358" s="150"/>
      <c r="BB358" s="158"/>
      <c r="BC358" s="124"/>
      <c r="BD358" s="159"/>
      <c r="BE358" s="167"/>
      <c r="BF358" s="85"/>
      <c r="BG358" s="168"/>
      <c r="BH358" s="175"/>
      <c r="BI358" s="127"/>
      <c r="BJ358" s="176"/>
      <c r="BK358" s="184"/>
      <c r="BL358" s="130"/>
      <c r="BM358" s="185"/>
      <c r="BN358" s="69"/>
      <c r="BO358" s="85"/>
      <c r="BP358" s="85"/>
      <c r="BQ358" s="85"/>
      <c r="BR358" s="85"/>
      <c r="BS358" s="85"/>
      <c r="BT358" s="85"/>
      <c r="BU358" s="87"/>
      <c r="BV358" s="87"/>
      <c r="BW358" s="87"/>
      <c r="BX358" s="87"/>
      <c r="BY358" s="87"/>
      <c r="BZ358" s="87"/>
      <c r="CA358" s="90"/>
      <c r="CB358" s="90"/>
      <c r="CC358" s="90"/>
      <c r="CD358" s="90"/>
      <c r="CE358" s="90"/>
      <c r="CF358" s="90"/>
      <c r="CG358" s="85"/>
      <c r="CH358" s="85"/>
      <c r="CI358" s="85"/>
      <c r="CJ358" s="85"/>
      <c r="CK358" s="85"/>
      <c r="CL358" s="87"/>
      <c r="CM358" s="87"/>
      <c r="CN358" s="87"/>
      <c r="CO358" s="87"/>
      <c r="CP358" s="90"/>
      <c r="CQ358" s="90"/>
      <c r="CR358" s="90"/>
      <c r="CS358" s="90"/>
      <c r="CT358" s="85"/>
      <c r="CU358" s="85"/>
      <c r="CV358" s="85"/>
      <c r="CW358" s="85"/>
      <c r="CX358" s="85"/>
      <c r="CY358" s="85"/>
      <c r="CZ358" s="85"/>
      <c r="DA358" s="33">
        <f t="shared" ref="DA358:DA421" si="5">D358</f>
        <v>0</v>
      </c>
    </row>
    <row r="359" spans="36:105" ht="19" x14ac:dyDescent="0.25">
      <c r="AJ359" s="63"/>
      <c r="AK359" s="20"/>
      <c r="AL359" s="21"/>
      <c r="AM359" s="22"/>
      <c r="AN359" s="23"/>
      <c r="AO359" s="24"/>
      <c r="AP359" s="25"/>
      <c r="AQ359" s="26"/>
      <c r="AR359" s="27"/>
      <c r="AS359" s="192"/>
      <c r="AT359" s="111"/>
      <c r="AU359" s="193"/>
      <c r="AV359" s="140"/>
      <c r="AW359" s="118"/>
      <c r="AX359" s="141"/>
      <c r="AY359" s="149"/>
      <c r="AZ359" s="121"/>
      <c r="BA359" s="150"/>
      <c r="BB359" s="158"/>
      <c r="BC359" s="124"/>
      <c r="BD359" s="159"/>
      <c r="BE359" s="167"/>
      <c r="BF359" s="85"/>
      <c r="BG359" s="168"/>
      <c r="BH359" s="175"/>
      <c r="BI359" s="127"/>
      <c r="BJ359" s="176"/>
      <c r="BK359" s="184"/>
      <c r="BL359" s="130"/>
      <c r="BM359" s="185"/>
      <c r="BN359" s="69"/>
      <c r="BO359" s="85"/>
      <c r="BP359" s="85"/>
      <c r="BQ359" s="85"/>
      <c r="BR359" s="85"/>
      <c r="BS359" s="85"/>
      <c r="BT359" s="85"/>
      <c r="BU359" s="87"/>
      <c r="BV359" s="87"/>
      <c r="BW359" s="87"/>
      <c r="BX359" s="87"/>
      <c r="BY359" s="87"/>
      <c r="BZ359" s="87"/>
      <c r="CA359" s="90"/>
      <c r="CB359" s="90"/>
      <c r="CC359" s="90"/>
      <c r="CD359" s="90"/>
      <c r="CE359" s="90"/>
      <c r="CF359" s="90"/>
      <c r="CG359" s="85"/>
      <c r="CH359" s="85"/>
      <c r="CI359" s="85"/>
      <c r="CJ359" s="85"/>
      <c r="CK359" s="85"/>
      <c r="CL359" s="87"/>
      <c r="CM359" s="87"/>
      <c r="CN359" s="87"/>
      <c r="CO359" s="87"/>
      <c r="CP359" s="90"/>
      <c r="CQ359" s="90"/>
      <c r="CR359" s="90"/>
      <c r="CS359" s="90"/>
      <c r="CT359" s="85"/>
      <c r="CU359" s="85"/>
      <c r="CV359" s="85"/>
      <c r="CW359" s="85"/>
      <c r="CX359" s="85"/>
      <c r="CY359" s="85"/>
      <c r="CZ359" s="85"/>
      <c r="DA359" s="33">
        <f t="shared" si="5"/>
        <v>0</v>
      </c>
    </row>
    <row r="360" spans="36:105" ht="19" x14ac:dyDescent="0.25">
      <c r="AJ360" s="63"/>
      <c r="AK360" s="20"/>
      <c r="AL360" s="21"/>
      <c r="AM360" s="22"/>
      <c r="AN360" s="23"/>
      <c r="AO360" s="24"/>
      <c r="AP360" s="25"/>
      <c r="AQ360" s="26"/>
      <c r="AR360" s="27"/>
      <c r="AS360" s="192"/>
      <c r="AT360" s="111"/>
      <c r="AU360" s="193"/>
      <c r="AV360" s="140"/>
      <c r="AW360" s="118"/>
      <c r="AX360" s="141"/>
      <c r="AY360" s="149"/>
      <c r="AZ360" s="121"/>
      <c r="BA360" s="150"/>
      <c r="BB360" s="158"/>
      <c r="BC360" s="124"/>
      <c r="BD360" s="159"/>
      <c r="BE360" s="167"/>
      <c r="BF360" s="85"/>
      <c r="BG360" s="168"/>
      <c r="BH360" s="175"/>
      <c r="BI360" s="127"/>
      <c r="BJ360" s="176"/>
      <c r="BK360" s="184"/>
      <c r="BL360" s="130"/>
      <c r="BM360" s="185"/>
      <c r="BN360" s="69"/>
      <c r="BO360" s="85"/>
      <c r="BP360" s="85"/>
      <c r="BQ360" s="85"/>
      <c r="BR360" s="85"/>
      <c r="BS360" s="85"/>
      <c r="BT360" s="85"/>
      <c r="BU360" s="87"/>
      <c r="BV360" s="87"/>
      <c r="BW360" s="87"/>
      <c r="BX360" s="87"/>
      <c r="BY360" s="87"/>
      <c r="BZ360" s="87"/>
      <c r="CA360" s="90"/>
      <c r="CB360" s="90"/>
      <c r="CC360" s="90"/>
      <c r="CD360" s="90"/>
      <c r="CE360" s="90"/>
      <c r="CF360" s="90"/>
      <c r="CG360" s="85"/>
      <c r="CH360" s="85"/>
      <c r="CI360" s="85"/>
      <c r="CJ360" s="85"/>
      <c r="CK360" s="85"/>
      <c r="CL360" s="87"/>
      <c r="CM360" s="87"/>
      <c r="CN360" s="87"/>
      <c r="CO360" s="87"/>
      <c r="CP360" s="90"/>
      <c r="CQ360" s="90"/>
      <c r="CR360" s="90"/>
      <c r="CS360" s="90"/>
      <c r="CT360" s="85"/>
      <c r="CU360" s="85"/>
      <c r="CV360" s="85"/>
      <c r="CW360" s="85"/>
      <c r="CX360" s="85"/>
      <c r="CY360" s="85"/>
      <c r="CZ360" s="85"/>
      <c r="DA360" s="33">
        <f t="shared" si="5"/>
        <v>0</v>
      </c>
    </row>
    <row r="361" spans="36:105" ht="19" x14ac:dyDescent="0.25">
      <c r="AJ361" s="63"/>
      <c r="AK361" s="20"/>
      <c r="AL361" s="21"/>
      <c r="AM361" s="22"/>
      <c r="AN361" s="23"/>
      <c r="AO361" s="24"/>
      <c r="AP361" s="25"/>
      <c r="AQ361" s="26"/>
      <c r="AR361" s="27"/>
      <c r="AS361" s="192"/>
      <c r="AT361" s="111"/>
      <c r="AU361" s="193"/>
      <c r="AV361" s="140"/>
      <c r="AW361" s="118"/>
      <c r="AX361" s="141"/>
      <c r="AY361" s="149"/>
      <c r="AZ361" s="121"/>
      <c r="BA361" s="150"/>
      <c r="BB361" s="158"/>
      <c r="BC361" s="124"/>
      <c r="BD361" s="159"/>
      <c r="BE361" s="167"/>
      <c r="BF361" s="85"/>
      <c r="BG361" s="168"/>
      <c r="BH361" s="175"/>
      <c r="BI361" s="127"/>
      <c r="BJ361" s="176"/>
      <c r="BK361" s="184"/>
      <c r="BL361" s="130"/>
      <c r="BM361" s="185"/>
      <c r="BN361" s="69"/>
      <c r="BO361" s="85"/>
      <c r="BP361" s="85"/>
      <c r="BQ361" s="85"/>
      <c r="BR361" s="85"/>
      <c r="BS361" s="85"/>
      <c r="BT361" s="85"/>
      <c r="BU361" s="87"/>
      <c r="BV361" s="87"/>
      <c r="BW361" s="87"/>
      <c r="BX361" s="87"/>
      <c r="BY361" s="87"/>
      <c r="BZ361" s="87"/>
      <c r="CA361" s="90"/>
      <c r="CB361" s="90"/>
      <c r="CC361" s="90"/>
      <c r="CD361" s="90"/>
      <c r="CE361" s="90"/>
      <c r="CF361" s="90"/>
      <c r="CG361" s="85"/>
      <c r="CH361" s="85"/>
      <c r="CI361" s="85"/>
      <c r="CJ361" s="85"/>
      <c r="CK361" s="85"/>
      <c r="CL361" s="87"/>
      <c r="CM361" s="87"/>
      <c r="CN361" s="87"/>
      <c r="CO361" s="87"/>
      <c r="CP361" s="90"/>
      <c r="CQ361" s="90"/>
      <c r="CR361" s="90"/>
      <c r="CS361" s="90"/>
      <c r="CT361" s="85"/>
      <c r="CU361" s="85"/>
      <c r="CV361" s="85"/>
      <c r="CW361" s="85"/>
      <c r="CX361" s="85"/>
      <c r="CY361" s="85"/>
      <c r="CZ361" s="85"/>
      <c r="DA361" s="33">
        <f t="shared" si="5"/>
        <v>0</v>
      </c>
    </row>
    <row r="362" spans="36:105" ht="19" x14ac:dyDescent="0.25">
      <c r="AJ362" s="63"/>
      <c r="AK362" s="20"/>
      <c r="AL362" s="21"/>
      <c r="AM362" s="22"/>
      <c r="AN362" s="23"/>
      <c r="AO362" s="24"/>
      <c r="AP362" s="25"/>
      <c r="AQ362" s="26"/>
      <c r="AR362" s="27"/>
      <c r="AS362" s="192"/>
      <c r="AT362" s="111"/>
      <c r="AU362" s="193"/>
      <c r="AV362" s="140"/>
      <c r="AW362" s="118"/>
      <c r="AX362" s="141"/>
      <c r="AY362" s="149"/>
      <c r="AZ362" s="121"/>
      <c r="BA362" s="150"/>
      <c r="BB362" s="158"/>
      <c r="BC362" s="124"/>
      <c r="BD362" s="159"/>
      <c r="BE362" s="167"/>
      <c r="BF362" s="85"/>
      <c r="BG362" s="168"/>
      <c r="BH362" s="175"/>
      <c r="BI362" s="127"/>
      <c r="BJ362" s="176"/>
      <c r="BK362" s="184"/>
      <c r="BL362" s="130"/>
      <c r="BM362" s="185"/>
      <c r="BN362" s="69"/>
      <c r="BO362" s="85"/>
      <c r="BP362" s="85"/>
      <c r="BQ362" s="85"/>
      <c r="BR362" s="85"/>
      <c r="BS362" s="85"/>
      <c r="BT362" s="85"/>
      <c r="BU362" s="87"/>
      <c r="BV362" s="87"/>
      <c r="BW362" s="87"/>
      <c r="BX362" s="87"/>
      <c r="BY362" s="87"/>
      <c r="BZ362" s="87"/>
      <c r="CA362" s="90"/>
      <c r="CB362" s="90"/>
      <c r="CC362" s="90"/>
      <c r="CD362" s="90"/>
      <c r="CE362" s="90"/>
      <c r="CF362" s="90"/>
      <c r="CG362" s="85"/>
      <c r="CH362" s="85"/>
      <c r="CI362" s="85"/>
      <c r="CJ362" s="85"/>
      <c r="CK362" s="85"/>
      <c r="CL362" s="87"/>
      <c r="CM362" s="87"/>
      <c r="CN362" s="87"/>
      <c r="CO362" s="87"/>
      <c r="CP362" s="90"/>
      <c r="CQ362" s="90"/>
      <c r="CR362" s="90"/>
      <c r="CS362" s="90"/>
      <c r="CT362" s="85"/>
      <c r="CU362" s="85"/>
      <c r="CV362" s="85"/>
      <c r="CW362" s="85"/>
      <c r="CX362" s="85"/>
      <c r="CY362" s="85"/>
      <c r="CZ362" s="85"/>
      <c r="DA362" s="33">
        <f t="shared" si="5"/>
        <v>0</v>
      </c>
    </row>
    <row r="363" spans="36:105" ht="19" x14ac:dyDescent="0.25">
      <c r="AJ363" s="63"/>
      <c r="AK363" s="20"/>
      <c r="AL363" s="21"/>
      <c r="AM363" s="22"/>
      <c r="AN363" s="23"/>
      <c r="AO363" s="24"/>
      <c r="AP363" s="25"/>
      <c r="AQ363" s="26"/>
      <c r="AR363" s="27"/>
      <c r="AS363" s="192"/>
      <c r="AT363" s="111"/>
      <c r="AU363" s="193"/>
      <c r="AV363" s="140"/>
      <c r="AW363" s="118"/>
      <c r="AX363" s="141"/>
      <c r="AY363" s="149"/>
      <c r="AZ363" s="121"/>
      <c r="BA363" s="150"/>
      <c r="BB363" s="158"/>
      <c r="BC363" s="124"/>
      <c r="BD363" s="159"/>
      <c r="BE363" s="167"/>
      <c r="BF363" s="85"/>
      <c r="BG363" s="168"/>
      <c r="BH363" s="175"/>
      <c r="BI363" s="127"/>
      <c r="BJ363" s="176"/>
      <c r="BK363" s="184"/>
      <c r="BL363" s="130"/>
      <c r="BM363" s="185"/>
      <c r="BN363" s="69"/>
      <c r="BO363" s="85"/>
      <c r="BP363" s="85"/>
      <c r="BQ363" s="85"/>
      <c r="BR363" s="85"/>
      <c r="BS363" s="85"/>
      <c r="BT363" s="85"/>
      <c r="BU363" s="87"/>
      <c r="BV363" s="87"/>
      <c r="BW363" s="87"/>
      <c r="BX363" s="87"/>
      <c r="BY363" s="87"/>
      <c r="BZ363" s="87"/>
      <c r="CA363" s="90"/>
      <c r="CB363" s="90"/>
      <c r="CC363" s="90"/>
      <c r="CD363" s="90"/>
      <c r="CE363" s="90"/>
      <c r="CF363" s="90"/>
      <c r="CG363" s="85"/>
      <c r="CH363" s="85"/>
      <c r="CI363" s="85"/>
      <c r="CJ363" s="85"/>
      <c r="CK363" s="85"/>
      <c r="CL363" s="87"/>
      <c r="CM363" s="87"/>
      <c r="CN363" s="87"/>
      <c r="CO363" s="87"/>
      <c r="CP363" s="90"/>
      <c r="CQ363" s="90"/>
      <c r="CR363" s="90"/>
      <c r="CS363" s="90"/>
      <c r="CT363" s="85"/>
      <c r="CU363" s="85"/>
      <c r="CV363" s="85"/>
      <c r="CW363" s="85"/>
      <c r="CX363" s="85"/>
      <c r="CY363" s="85"/>
      <c r="CZ363" s="85"/>
      <c r="DA363" s="33">
        <f t="shared" si="5"/>
        <v>0</v>
      </c>
    </row>
    <row r="364" spans="36:105" ht="19" x14ac:dyDescent="0.25">
      <c r="AJ364" s="63"/>
      <c r="AK364" s="20"/>
      <c r="AL364" s="21"/>
      <c r="AM364" s="22"/>
      <c r="AN364" s="23"/>
      <c r="AO364" s="24"/>
      <c r="AP364" s="25"/>
      <c r="AQ364" s="26"/>
      <c r="AR364" s="27"/>
      <c r="AS364" s="192"/>
      <c r="AT364" s="111"/>
      <c r="AU364" s="193"/>
      <c r="AV364" s="140"/>
      <c r="AW364" s="118"/>
      <c r="AX364" s="141"/>
      <c r="AY364" s="149"/>
      <c r="AZ364" s="121"/>
      <c r="BA364" s="150"/>
      <c r="BB364" s="158"/>
      <c r="BC364" s="124"/>
      <c r="BD364" s="159"/>
      <c r="BE364" s="167"/>
      <c r="BF364" s="85"/>
      <c r="BG364" s="168"/>
      <c r="BH364" s="175"/>
      <c r="BI364" s="127"/>
      <c r="BJ364" s="176"/>
      <c r="BK364" s="184"/>
      <c r="BL364" s="130"/>
      <c r="BM364" s="185"/>
      <c r="BN364" s="69"/>
      <c r="BO364" s="85"/>
      <c r="BP364" s="85"/>
      <c r="BQ364" s="85"/>
      <c r="BR364" s="85"/>
      <c r="BS364" s="85"/>
      <c r="BT364" s="85"/>
      <c r="BU364" s="87"/>
      <c r="BV364" s="87"/>
      <c r="BW364" s="87"/>
      <c r="BX364" s="87"/>
      <c r="BY364" s="87"/>
      <c r="BZ364" s="87"/>
      <c r="CA364" s="90"/>
      <c r="CB364" s="90"/>
      <c r="CC364" s="90"/>
      <c r="CD364" s="90"/>
      <c r="CE364" s="90"/>
      <c r="CF364" s="90"/>
      <c r="CG364" s="85"/>
      <c r="CH364" s="85"/>
      <c r="CI364" s="85"/>
      <c r="CJ364" s="85"/>
      <c r="CK364" s="85"/>
      <c r="CL364" s="87"/>
      <c r="CM364" s="87"/>
      <c r="CN364" s="87"/>
      <c r="CO364" s="87"/>
      <c r="CP364" s="90"/>
      <c r="CQ364" s="90"/>
      <c r="CR364" s="90"/>
      <c r="CS364" s="90"/>
      <c r="CT364" s="85"/>
      <c r="CU364" s="85"/>
      <c r="CV364" s="85"/>
      <c r="CW364" s="85"/>
      <c r="CX364" s="85"/>
      <c r="CY364" s="85"/>
      <c r="CZ364" s="85"/>
      <c r="DA364" s="33">
        <f t="shared" si="5"/>
        <v>0</v>
      </c>
    </row>
    <row r="365" spans="36:105" ht="19" x14ac:dyDescent="0.25">
      <c r="AJ365" s="63"/>
      <c r="AK365" s="20"/>
      <c r="AL365" s="21"/>
      <c r="AM365" s="22"/>
      <c r="AN365" s="23"/>
      <c r="AO365" s="24"/>
      <c r="AP365" s="25"/>
      <c r="AQ365" s="26"/>
      <c r="AR365" s="27"/>
      <c r="AS365" s="192"/>
      <c r="AT365" s="111"/>
      <c r="AU365" s="193"/>
      <c r="AV365" s="140"/>
      <c r="AW365" s="118"/>
      <c r="AX365" s="141"/>
      <c r="AY365" s="149"/>
      <c r="AZ365" s="121"/>
      <c r="BA365" s="150"/>
      <c r="BB365" s="158"/>
      <c r="BC365" s="124"/>
      <c r="BD365" s="159"/>
      <c r="BE365" s="167"/>
      <c r="BF365" s="85"/>
      <c r="BG365" s="168"/>
      <c r="BH365" s="175"/>
      <c r="BI365" s="127"/>
      <c r="BJ365" s="176"/>
      <c r="BK365" s="184"/>
      <c r="BL365" s="130"/>
      <c r="BM365" s="185"/>
      <c r="BN365" s="69"/>
      <c r="BO365" s="85"/>
      <c r="BP365" s="85"/>
      <c r="BQ365" s="85"/>
      <c r="BR365" s="85"/>
      <c r="BS365" s="85"/>
      <c r="BT365" s="85"/>
      <c r="BU365" s="87"/>
      <c r="BV365" s="87"/>
      <c r="BW365" s="87"/>
      <c r="BX365" s="87"/>
      <c r="BY365" s="87"/>
      <c r="BZ365" s="87"/>
      <c r="CA365" s="90"/>
      <c r="CB365" s="90"/>
      <c r="CC365" s="90"/>
      <c r="CD365" s="90"/>
      <c r="CE365" s="90"/>
      <c r="CF365" s="90"/>
      <c r="CG365" s="85"/>
      <c r="CH365" s="85"/>
      <c r="CI365" s="85"/>
      <c r="CJ365" s="85"/>
      <c r="CK365" s="85"/>
      <c r="CL365" s="87"/>
      <c r="CM365" s="87"/>
      <c r="CN365" s="87"/>
      <c r="CO365" s="87"/>
      <c r="CP365" s="90"/>
      <c r="CQ365" s="90"/>
      <c r="CR365" s="90"/>
      <c r="CS365" s="90"/>
      <c r="CT365" s="85"/>
      <c r="CU365" s="85"/>
      <c r="CV365" s="85"/>
      <c r="CW365" s="85"/>
      <c r="CX365" s="85"/>
      <c r="CY365" s="85"/>
      <c r="CZ365" s="85"/>
      <c r="DA365" s="33">
        <f t="shared" si="5"/>
        <v>0</v>
      </c>
    </row>
    <row r="366" spans="36:105" ht="19" x14ac:dyDescent="0.25">
      <c r="AJ366" s="63"/>
      <c r="AK366" s="20"/>
      <c r="AL366" s="21"/>
      <c r="AM366" s="22"/>
      <c r="AN366" s="23"/>
      <c r="AO366" s="24"/>
      <c r="AP366" s="25"/>
      <c r="AQ366" s="26"/>
      <c r="AR366" s="27"/>
      <c r="AS366" s="192"/>
      <c r="AT366" s="111"/>
      <c r="AU366" s="193"/>
      <c r="AV366" s="140"/>
      <c r="AW366" s="118"/>
      <c r="AX366" s="141"/>
      <c r="AY366" s="149"/>
      <c r="AZ366" s="121"/>
      <c r="BA366" s="150"/>
      <c r="BB366" s="158"/>
      <c r="BC366" s="124"/>
      <c r="BD366" s="159"/>
      <c r="BE366" s="167"/>
      <c r="BF366" s="85"/>
      <c r="BG366" s="168"/>
      <c r="BH366" s="175"/>
      <c r="BI366" s="127"/>
      <c r="BJ366" s="176"/>
      <c r="BK366" s="184"/>
      <c r="BL366" s="130"/>
      <c r="BM366" s="185"/>
      <c r="BN366" s="69"/>
      <c r="BO366" s="85"/>
      <c r="BP366" s="85"/>
      <c r="BQ366" s="85"/>
      <c r="BR366" s="85"/>
      <c r="BS366" s="85"/>
      <c r="BT366" s="85"/>
      <c r="BU366" s="87"/>
      <c r="BV366" s="87"/>
      <c r="BW366" s="87"/>
      <c r="BX366" s="87"/>
      <c r="BY366" s="87"/>
      <c r="BZ366" s="87"/>
      <c r="CA366" s="90"/>
      <c r="CB366" s="90"/>
      <c r="CC366" s="90"/>
      <c r="CD366" s="90"/>
      <c r="CE366" s="90"/>
      <c r="CF366" s="90"/>
      <c r="CG366" s="85"/>
      <c r="CH366" s="85"/>
      <c r="CI366" s="85"/>
      <c r="CJ366" s="85"/>
      <c r="CK366" s="85"/>
      <c r="CL366" s="87"/>
      <c r="CM366" s="87"/>
      <c r="CN366" s="87"/>
      <c r="CO366" s="87"/>
      <c r="CP366" s="90"/>
      <c r="CQ366" s="90"/>
      <c r="CR366" s="90"/>
      <c r="CS366" s="90"/>
      <c r="CT366" s="85"/>
      <c r="CU366" s="85"/>
      <c r="CV366" s="85"/>
      <c r="CW366" s="85"/>
      <c r="CX366" s="85"/>
      <c r="CY366" s="85"/>
      <c r="CZ366" s="85"/>
      <c r="DA366" s="33">
        <f t="shared" si="5"/>
        <v>0</v>
      </c>
    </row>
    <row r="367" spans="36:105" ht="19" x14ac:dyDescent="0.25">
      <c r="AJ367" s="63"/>
      <c r="AK367" s="20"/>
      <c r="AL367" s="21"/>
      <c r="AM367" s="22"/>
      <c r="AN367" s="23"/>
      <c r="AO367" s="24"/>
      <c r="AP367" s="25"/>
      <c r="AQ367" s="26"/>
      <c r="AR367" s="27"/>
      <c r="AS367" s="192"/>
      <c r="AT367" s="111"/>
      <c r="AU367" s="193"/>
      <c r="AV367" s="140"/>
      <c r="AW367" s="118"/>
      <c r="AX367" s="141"/>
      <c r="AY367" s="149"/>
      <c r="AZ367" s="121"/>
      <c r="BA367" s="150"/>
      <c r="BB367" s="158"/>
      <c r="BC367" s="124"/>
      <c r="BD367" s="159"/>
      <c r="BE367" s="167"/>
      <c r="BF367" s="85"/>
      <c r="BG367" s="168"/>
      <c r="BH367" s="175"/>
      <c r="BI367" s="127"/>
      <c r="BJ367" s="176"/>
      <c r="BK367" s="184"/>
      <c r="BL367" s="130"/>
      <c r="BM367" s="185"/>
      <c r="BN367" s="69"/>
      <c r="BO367" s="85"/>
      <c r="BP367" s="85"/>
      <c r="BQ367" s="85"/>
      <c r="BR367" s="85"/>
      <c r="BS367" s="85"/>
      <c r="BT367" s="85"/>
      <c r="BU367" s="87"/>
      <c r="BV367" s="87"/>
      <c r="BW367" s="87"/>
      <c r="BX367" s="87"/>
      <c r="BY367" s="87"/>
      <c r="BZ367" s="87"/>
      <c r="CA367" s="90"/>
      <c r="CB367" s="90"/>
      <c r="CC367" s="90"/>
      <c r="CD367" s="90"/>
      <c r="CE367" s="90"/>
      <c r="CF367" s="90"/>
      <c r="CG367" s="85"/>
      <c r="CH367" s="85"/>
      <c r="CI367" s="85"/>
      <c r="CJ367" s="85"/>
      <c r="CK367" s="85"/>
      <c r="CL367" s="87"/>
      <c r="CM367" s="87"/>
      <c r="CN367" s="87"/>
      <c r="CO367" s="87"/>
      <c r="CP367" s="90"/>
      <c r="CQ367" s="90"/>
      <c r="CR367" s="90"/>
      <c r="CS367" s="90"/>
      <c r="CT367" s="85"/>
      <c r="CU367" s="85"/>
      <c r="CV367" s="85"/>
      <c r="CW367" s="85"/>
      <c r="CX367" s="85"/>
      <c r="CY367" s="85"/>
      <c r="CZ367" s="85"/>
      <c r="DA367" s="33">
        <f t="shared" si="5"/>
        <v>0</v>
      </c>
    </row>
    <row r="368" spans="36:105" ht="19" x14ac:dyDescent="0.25">
      <c r="AJ368" s="63"/>
      <c r="AK368" s="20"/>
      <c r="AL368" s="21"/>
      <c r="AM368" s="22"/>
      <c r="AN368" s="23"/>
      <c r="AO368" s="24"/>
      <c r="AP368" s="25"/>
      <c r="AQ368" s="26"/>
      <c r="AR368" s="27"/>
      <c r="AS368" s="192"/>
      <c r="AT368" s="111"/>
      <c r="AU368" s="193"/>
      <c r="AV368" s="140"/>
      <c r="AW368" s="118"/>
      <c r="AX368" s="141"/>
      <c r="AY368" s="149"/>
      <c r="AZ368" s="121"/>
      <c r="BA368" s="150"/>
      <c r="BB368" s="158"/>
      <c r="BC368" s="124"/>
      <c r="BD368" s="159"/>
      <c r="BE368" s="167"/>
      <c r="BF368" s="85"/>
      <c r="BG368" s="168"/>
      <c r="BH368" s="175"/>
      <c r="BI368" s="127"/>
      <c r="BJ368" s="176"/>
      <c r="BK368" s="184"/>
      <c r="BL368" s="130"/>
      <c r="BM368" s="185"/>
      <c r="BN368" s="69"/>
      <c r="BO368" s="85"/>
      <c r="BP368" s="85"/>
      <c r="BQ368" s="85"/>
      <c r="BR368" s="85"/>
      <c r="BS368" s="85"/>
      <c r="BT368" s="85"/>
      <c r="BU368" s="87"/>
      <c r="BV368" s="87"/>
      <c r="BW368" s="87"/>
      <c r="BX368" s="87"/>
      <c r="BY368" s="87"/>
      <c r="BZ368" s="87"/>
      <c r="CA368" s="90"/>
      <c r="CB368" s="90"/>
      <c r="CC368" s="90"/>
      <c r="CD368" s="90"/>
      <c r="CE368" s="90"/>
      <c r="CF368" s="90"/>
      <c r="CG368" s="85"/>
      <c r="CH368" s="85"/>
      <c r="CI368" s="85"/>
      <c r="CJ368" s="85"/>
      <c r="CK368" s="85"/>
      <c r="CL368" s="87"/>
      <c r="CM368" s="87"/>
      <c r="CN368" s="87"/>
      <c r="CO368" s="87"/>
      <c r="CP368" s="90"/>
      <c r="CQ368" s="90"/>
      <c r="CR368" s="90"/>
      <c r="CS368" s="90"/>
      <c r="CT368" s="85"/>
      <c r="CU368" s="85"/>
      <c r="CV368" s="85"/>
      <c r="CW368" s="85"/>
      <c r="CX368" s="85"/>
      <c r="CY368" s="85"/>
      <c r="CZ368" s="85"/>
      <c r="DA368" s="33">
        <f t="shared" si="5"/>
        <v>0</v>
      </c>
    </row>
    <row r="369" spans="36:105" ht="19" x14ac:dyDescent="0.25">
      <c r="AJ369" s="63"/>
      <c r="AK369" s="20"/>
      <c r="AL369" s="21"/>
      <c r="AM369" s="22"/>
      <c r="AN369" s="23"/>
      <c r="AO369" s="24"/>
      <c r="AP369" s="25"/>
      <c r="AQ369" s="26"/>
      <c r="AR369" s="27"/>
      <c r="AS369" s="192"/>
      <c r="AT369" s="111"/>
      <c r="AU369" s="193"/>
      <c r="AV369" s="140"/>
      <c r="AW369" s="118"/>
      <c r="AX369" s="141"/>
      <c r="AY369" s="149"/>
      <c r="AZ369" s="121"/>
      <c r="BA369" s="150"/>
      <c r="BB369" s="158"/>
      <c r="BC369" s="124"/>
      <c r="BD369" s="159"/>
      <c r="BE369" s="167"/>
      <c r="BF369" s="85"/>
      <c r="BG369" s="168"/>
      <c r="BH369" s="175"/>
      <c r="BI369" s="127"/>
      <c r="BJ369" s="176"/>
      <c r="BK369" s="184"/>
      <c r="BL369" s="130"/>
      <c r="BM369" s="185"/>
      <c r="BN369" s="69"/>
      <c r="BO369" s="85"/>
      <c r="BP369" s="85"/>
      <c r="BQ369" s="85"/>
      <c r="BR369" s="85"/>
      <c r="BS369" s="85"/>
      <c r="BT369" s="85"/>
      <c r="BU369" s="87"/>
      <c r="BV369" s="87"/>
      <c r="BW369" s="87"/>
      <c r="BX369" s="87"/>
      <c r="BY369" s="87"/>
      <c r="BZ369" s="87"/>
      <c r="CA369" s="90"/>
      <c r="CB369" s="90"/>
      <c r="CC369" s="90"/>
      <c r="CD369" s="90"/>
      <c r="CE369" s="90"/>
      <c r="CF369" s="90"/>
      <c r="CG369" s="85"/>
      <c r="CH369" s="85"/>
      <c r="CI369" s="85"/>
      <c r="CJ369" s="85"/>
      <c r="CK369" s="85"/>
      <c r="CL369" s="87"/>
      <c r="CM369" s="87"/>
      <c r="CN369" s="87"/>
      <c r="CO369" s="87"/>
      <c r="CP369" s="90"/>
      <c r="CQ369" s="90"/>
      <c r="CR369" s="90"/>
      <c r="CS369" s="90"/>
      <c r="CT369" s="85"/>
      <c r="CU369" s="85"/>
      <c r="CV369" s="85"/>
      <c r="CW369" s="85"/>
      <c r="CX369" s="85"/>
      <c r="CY369" s="85"/>
      <c r="CZ369" s="85"/>
      <c r="DA369" s="33">
        <f t="shared" si="5"/>
        <v>0</v>
      </c>
    </row>
    <row r="370" spans="36:105" ht="19" x14ac:dyDescent="0.25">
      <c r="AJ370" s="63"/>
      <c r="AK370" s="20"/>
      <c r="AL370" s="21"/>
      <c r="AM370" s="22"/>
      <c r="AN370" s="23"/>
      <c r="AO370" s="24"/>
      <c r="AP370" s="25"/>
      <c r="AQ370" s="26"/>
      <c r="AR370" s="27"/>
      <c r="AS370" s="192"/>
      <c r="AT370" s="111"/>
      <c r="AU370" s="193"/>
      <c r="AV370" s="140"/>
      <c r="AW370" s="118"/>
      <c r="AX370" s="141"/>
      <c r="AY370" s="149"/>
      <c r="AZ370" s="121"/>
      <c r="BA370" s="150"/>
      <c r="BB370" s="158"/>
      <c r="BC370" s="124"/>
      <c r="BD370" s="159"/>
      <c r="BE370" s="167"/>
      <c r="BF370" s="85"/>
      <c r="BG370" s="168"/>
      <c r="BH370" s="175"/>
      <c r="BI370" s="127"/>
      <c r="BJ370" s="176"/>
      <c r="BK370" s="184"/>
      <c r="BL370" s="130"/>
      <c r="BM370" s="185"/>
      <c r="BN370" s="69"/>
      <c r="BO370" s="85"/>
      <c r="BP370" s="85"/>
      <c r="BQ370" s="85"/>
      <c r="BR370" s="85"/>
      <c r="BS370" s="85"/>
      <c r="BT370" s="85"/>
      <c r="BU370" s="87"/>
      <c r="BV370" s="87"/>
      <c r="BW370" s="87"/>
      <c r="BX370" s="87"/>
      <c r="BY370" s="87"/>
      <c r="BZ370" s="87"/>
      <c r="CA370" s="90"/>
      <c r="CB370" s="90"/>
      <c r="CC370" s="90"/>
      <c r="CD370" s="90"/>
      <c r="CE370" s="90"/>
      <c r="CF370" s="90"/>
      <c r="CG370" s="85"/>
      <c r="CH370" s="85"/>
      <c r="CI370" s="85"/>
      <c r="CJ370" s="85"/>
      <c r="CK370" s="85"/>
      <c r="CL370" s="87"/>
      <c r="CM370" s="87"/>
      <c r="CN370" s="87"/>
      <c r="CO370" s="87"/>
      <c r="CP370" s="90"/>
      <c r="CQ370" s="90"/>
      <c r="CR370" s="90"/>
      <c r="CS370" s="90"/>
      <c r="CT370" s="85"/>
      <c r="CU370" s="85"/>
      <c r="CV370" s="85"/>
      <c r="CW370" s="85"/>
      <c r="CX370" s="85"/>
      <c r="CY370" s="85"/>
      <c r="CZ370" s="85"/>
      <c r="DA370" s="33">
        <f t="shared" si="5"/>
        <v>0</v>
      </c>
    </row>
    <row r="371" spans="36:105" ht="19" x14ac:dyDescent="0.25">
      <c r="AJ371" s="63"/>
      <c r="AK371" s="20"/>
      <c r="AL371" s="21"/>
      <c r="AM371" s="22"/>
      <c r="AN371" s="23"/>
      <c r="AO371" s="24"/>
      <c r="AP371" s="25"/>
      <c r="AQ371" s="26"/>
      <c r="AR371" s="27"/>
      <c r="AS371" s="192"/>
      <c r="AT371" s="111"/>
      <c r="AU371" s="193"/>
      <c r="AV371" s="140"/>
      <c r="AW371" s="118"/>
      <c r="AX371" s="141"/>
      <c r="AY371" s="149"/>
      <c r="AZ371" s="121"/>
      <c r="BA371" s="150"/>
      <c r="BB371" s="158"/>
      <c r="BC371" s="124"/>
      <c r="BD371" s="159"/>
      <c r="BE371" s="167"/>
      <c r="BF371" s="85"/>
      <c r="BG371" s="168"/>
      <c r="BH371" s="175"/>
      <c r="BI371" s="127"/>
      <c r="BJ371" s="176"/>
      <c r="BK371" s="184"/>
      <c r="BL371" s="130"/>
      <c r="BM371" s="185"/>
      <c r="BN371" s="69"/>
      <c r="BO371" s="85"/>
      <c r="BP371" s="85"/>
      <c r="BQ371" s="85"/>
      <c r="BR371" s="85"/>
      <c r="BS371" s="85"/>
      <c r="BT371" s="85"/>
      <c r="BU371" s="87"/>
      <c r="BV371" s="87"/>
      <c r="BW371" s="87"/>
      <c r="BX371" s="87"/>
      <c r="BY371" s="87"/>
      <c r="BZ371" s="87"/>
      <c r="CA371" s="90"/>
      <c r="CB371" s="90"/>
      <c r="CC371" s="90"/>
      <c r="CD371" s="90"/>
      <c r="CE371" s="90"/>
      <c r="CF371" s="90"/>
      <c r="CG371" s="85"/>
      <c r="CH371" s="85"/>
      <c r="CI371" s="85"/>
      <c r="CJ371" s="85"/>
      <c r="CK371" s="85"/>
      <c r="CL371" s="87"/>
      <c r="CM371" s="87"/>
      <c r="CN371" s="87"/>
      <c r="CO371" s="87"/>
      <c r="CP371" s="90"/>
      <c r="CQ371" s="90"/>
      <c r="CR371" s="90"/>
      <c r="CS371" s="90"/>
      <c r="CT371" s="85"/>
      <c r="CU371" s="85"/>
      <c r="CV371" s="85"/>
      <c r="CW371" s="85"/>
      <c r="CX371" s="85"/>
      <c r="CY371" s="85"/>
      <c r="CZ371" s="85"/>
      <c r="DA371" s="33">
        <f t="shared" si="5"/>
        <v>0</v>
      </c>
    </row>
    <row r="372" spans="36:105" ht="19" x14ac:dyDescent="0.25">
      <c r="AJ372" s="63"/>
      <c r="AK372" s="20"/>
      <c r="AL372" s="21"/>
      <c r="AM372" s="22"/>
      <c r="AN372" s="23"/>
      <c r="AO372" s="24"/>
      <c r="AP372" s="25"/>
      <c r="AQ372" s="26"/>
      <c r="AR372" s="27"/>
      <c r="AS372" s="192"/>
      <c r="AT372" s="111"/>
      <c r="AU372" s="193"/>
      <c r="AV372" s="140"/>
      <c r="AW372" s="118"/>
      <c r="AX372" s="141"/>
      <c r="AY372" s="149"/>
      <c r="AZ372" s="121"/>
      <c r="BA372" s="150"/>
      <c r="BB372" s="158"/>
      <c r="BC372" s="124"/>
      <c r="BD372" s="159"/>
      <c r="BE372" s="167"/>
      <c r="BF372" s="85"/>
      <c r="BG372" s="168"/>
      <c r="BH372" s="175"/>
      <c r="BI372" s="127"/>
      <c r="BJ372" s="176"/>
      <c r="BK372" s="184"/>
      <c r="BL372" s="130"/>
      <c r="BM372" s="185"/>
      <c r="BN372" s="69"/>
      <c r="BO372" s="85"/>
      <c r="BP372" s="85"/>
      <c r="BQ372" s="85"/>
      <c r="BR372" s="85"/>
      <c r="BS372" s="85"/>
      <c r="BT372" s="85"/>
      <c r="BU372" s="87"/>
      <c r="BV372" s="87"/>
      <c r="BW372" s="87"/>
      <c r="BX372" s="87"/>
      <c r="BY372" s="87"/>
      <c r="BZ372" s="87"/>
      <c r="CA372" s="90"/>
      <c r="CB372" s="90"/>
      <c r="CC372" s="90"/>
      <c r="CD372" s="90"/>
      <c r="CE372" s="90"/>
      <c r="CF372" s="90"/>
      <c r="CG372" s="85"/>
      <c r="CH372" s="85"/>
      <c r="CI372" s="85"/>
      <c r="CJ372" s="85"/>
      <c r="CK372" s="85"/>
      <c r="CL372" s="87"/>
      <c r="CM372" s="87"/>
      <c r="CN372" s="87"/>
      <c r="CO372" s="87"/>
      <c r="CP372" s="90"/>
      <c r="CQ372" s="90"/>
      <c r="CR372" s="90"/>
      <c r="CS372" s="90"/>
      <c r="CT372" s="85"/>
      <c r="CU372" s="85"/>
      <c r="CV372" s="85"/>
      <c r="CW372" s="85"/>
      <c r="CX372" s="85"/>
      <c r="CY372" s="85"/>
      <c r="CZ372" s="85"/>
      <c r="DA372" s="33">
        <f t="shared" si="5"/>
        <v>0</v>
      </c>
    </row>
    <row r="373" spans="36:105" ht="19" x14ac:dyDescent="0.25">
      <c r="AJ373" s="63"/>
      <c r="AK373" s="20"/>
      <c r="AL373" s="21"/>
      <c r="AM373" s="22"/>
      <c r="AN373" s="23"/>
      <c r="AO373" s="24"/>
      <c r="AP373" s="25"/>
      <c r="AQ373" s="26"/>
      <c r="AR373" s="27"/>
      <c r="AS373" s="192"/>
      <c r="AT373" s="111"/>
      <c r="AU373" s="193"/>
      <c r="AV373" s="140"/>
      <c r="AW373" s="118"/>
      <c r="AX373" s="141"/>
      <c r="AY373" s="149"/>
      <c r="AZ373" s="121"/>
      <c r="BA373" s="150"/>
      <c r="BB373" s="158"/>
      <c r="BC373" s="124"/>
      <c r="BD373" s="159"/>
      <c r="BE373" s="167"/>
      <c r="BF373" s="85"/>
      <c r="BG373" s="168"/>
      <c r="BH373" s="175"/>
      <c r="BI373" s="127"/>
      <c r="BJ373" s="176"/>
      <c r="BK373" s="184"/>
      <c r="BL373" s="130"/>
      <c r="BM373" s="185"/>
      <c r="BN373" s="69"/>
      <c r="BO373" s="85"/>
      <c r="BP373" s="85"/>
      <c r="BQ373" s="85"/>
      <c r="BR373" s="85"/>
      <c r="BS373" s="85"/>
      <c r="BT373" s="85"/>
      <c r="BU373" s="87"/>
      <c r="BV373" s="87"/>
      <c r="BW373" s="87"/>
      <c r="BX373" s="87"/>
      <c r="BY373" s="87"/>
      <c r="BZ373" s="87"/>
      <c r="CA373" s="90"/>
      <c r="CB373" s="90"/>
      <c r="CC373" s="90"/>
      <c r="CD373" s="90"/>
      <c r="CE373" s="90"/>
      <c r="CF373" s="90"/>
      <c r="CG373" s="85"/>
      <c r="CH373" s="85"/>
      <c r="CI373" s="85"/>
      <c r="CJ373" s="85"/>
      <c r="CK373" s="85"/>
      <c r="CL373" s="87"/>
      <c r="CM373" s="87"/>
      <c r="CN373" s="87"/>
      <c r="CO373" s="87"/>
      <c r="CP373" s="90"/>
      <c r="CQ373" s="90"/>
      <c r="CR373" s="90"/>
      <c r="CS373" s="90"/>
      <c r="CT373" s="85"/>
      <c r="CU373" s="85"/>
      <c r="CV373" s="85"/>
      <c r="CW373" s="85"/>
      <c r="CX373" s="85"/>
      <c r="CY373" s="85"/>
      <c r="CZ373" s="85"/>
      <c r="DA373" s="33">
        <f t="shared" si="5"/>
        <v>0</v>
      </c>
    </row>
    <row r="374" spans="36:105" ht="19" x14ac:dyDescent="0.25">
      <c r="AJ374" s="63"/>
      <c r="AK374" s="20"/>
      <c r="AL374" s="21"/>
      <c r="AM374" s="22"/>
      <c r="AN374" s="23"/>
      <c r="AO374" s="24"/>
      <c r="AP374" s="25"/>
      <c r="AQ374" s="26"/>
      <c r="AR374" s="27"/>
      <c r="AS374" s="192"/>
      <c r="AT374" s="111"/>
      <c r="AU374" s="193"/>
      <c r="AV374" s="140"/>
      <c r="AW374" s="118"/>
      <c r="AX374" s="141"/>
      <c r="AY374" s="149"/>
      <c r="AZ374" s="121"/>
      <c r="BA374" s="150"/>
      <c r="BB374" s="158"/>
      <c r="BC374" s="124"/>
      <c r="BD374" s="159"/>
      <c r="BE374" s="167"/>
      <c r="BF374" s="85"/>
      <c r="BG374" s="168"/>
      <c r="BH374" s="175"/>
      <c r="BI374" s="127"/>
      <c r="BJ374" s="176"/>
      <c r="BK374" s="184"/>
      <c r="BL374" s="130"/>
      <c r="BM374" s="185"/>
      <c r="BN374" s="69"/>
      <c r="BO374" s="85"/>
      <c r="BP374" s="85"/>
      <c r="BQ374" s="85"/>
      <c r="BR374" s="85"/>
      <c r="BS374" s="85"/>
      <c r="BT374" s="85"/>
      <c r="BU374" s="87"/>
      <c r="BV374" s="87"/>
      <c r="BW374" s="87"/>
      <c r="BX374" s="87"/>
      <c r="BY374" s="87"/>
      <c r="BZ374" s="87"/>
      <c r="CA374" s="90"/>
      <c r="CB374" s="90"/>
      <c r="CC374" s="90"/>
      <c r="CD374" s="90"/>
      <c r="CE374" s="90"/>
      <c r="CF374" s="90"/>
      <c r="CG374" s="85"/>
      <c r="CH374" s="85"/>
      <c r="CI374" s="85"/>
      <c r="CJ374" s="85"/>
      <c r="CK374" s="85"/>
      <c r="CL374" s="87"/>
      <c r="CM374" s="87"/>
      <c r="CN374" s="87"/>
      <c r="CO374" s="87"/>
      <c r="CP374" s="90"/>
      <c r="CQ374" s="90"/>
      <c r="CR374" s="90"/>
      <c r="CS374" s="90"/>
      <c r="CT374" s="85"/>
      <c r="CU374" s="85"/>
      <c r="CV374" s="85"/>
      <c r="CW374" s="85"/>
      <c r="CX374" s="85"/>
      <c r="CY374" s="85"/>
      <c r="CZ374" s="85"/>
      <c r="DA374" s="33">
        <f t="shared" si="5"/>
        <v>0</v>
      </c>
    </row>
    <row r="375" spans="36:105" ht="19" x14ac:dyDescent="0.25">
      <c r="AJ375" s="63"/>
      <c r="AK375" s="20"/>
      <c r="AL375" s="21"/>
      <c r="AM375" s="22"/>
      <c r="AN375" s="23"/>
      <c r="AO375" s="24"/>
      <c r="AP375" s="25"/>
      <c r="AQ375" s="26"/>
      <c r="AR375" s="27"/>
      <c r="AS375" s="192"/>
      <c r="AT375" s="111"/>
      <c r="AU375" s="193"/>
      <c r="AV375" s="140"/>
      <c r="AW375" s="118"/>
      <c r="AX375" s="141"/>
      <c r="AY375" s="149"/>
      <c r="AZ375" s="121"/>
      <c r="BA375" s="150"/>
      <c r="BB375" s="158"/>
      <c r="BC375" s="124"/>
      <c r="BD375" s="159"/>
      <c r="BE375" s="167"/>
      <c r="BF375" s="85"/>
      <c r="BG375" s="168"/>
      <c r="BH375" s="175"/>
      <c r="BI375" s="127"/>
      <c r="BJ375" s="176"/>
      <c r="BK375" s="184"/>
      <c r="BL375" s="130"/>
      <c r="BM375" s="185"/>
      <c r="BN375" s="69"/>
      <c r="BO375" s="85"/>
      <c r="BP375" s="85"/>
      <c r="BQ375" s="85"/>
      <c r="BR375" s="85"/>
      <c r="BS375" s="85"/>
      <c r="BT375" s="85"/>
      <c r="BU375" s="87"/>
      <c r="BV375" s="87"/>
      <c r="BW375" s="87"/>
      <c r="BX375" s="87"/>
      <c r="BY375" s="87"/>
      <c r="BZ375" s="87"/>
      <c r="CA375" s="90"/>
      <c r="CB375" s="90"/>
      <c r="CC375" s="90"/>
      <c r="CD375" s="90"/>
      <c r="CE375" s="90"/>
      <c r="CF375" s="90"/>
      <c r="CG375" s="85"/>
      <c r="CH375" s="85"/>
      <c r="CI375" s="85"/>
      <c r="CJ375" s="85"/>
      <c r="CK375" s="85"/>
      <c r="CL375" s="87"/>
      <c r="CM375" s="87"/>
      <c r="CN375" s="87"/>
      <c r="CO375" s="87"/>
      <c r="CP375" s="90"/>
      <c r="CQ375" s="90"/>
      <c r="CR375" s="90"/>
      <c r="CS375" s="90"/>
      <c r="CT375" s="85"/>
      <c r="CU375" s="85"/>
      <c r="CV375" s="85"/>
      <c r="CW375" s="85"/>
      <c r="CX375" s="85"/>
      <c r="CY375" s="85"/>
      <c r="CZ375" s="85"/>
      <c r="DA375" s="33">
        <f t="shared" si="5"/>
        <v>0</v>
      </c>
    </row>
    <row r="376" spans="36:105" ht="19" x14ac:dyDescent="0.25">
      <c r="AJ376" s="63"/>
      <c r="AK376" s="20"/>
      <c r="AL376" s="21"/>
      <c r="AM376" s="22"/>
      <c r="AN376" s="23"/>
      <c r="AO376" s="24"/>
      <c r="AP376" s="25"/>
      <c r="AQ376" s="26"/>
      <c r="AR376" s="27"/>
      <c r="AS376" s="192"/>
      <c r="AT376" s="111"/>
      <c r="AU376" s="193"/>
      <c r="AV376" s="140"/>
      <c r="AW376" s="118"/>
      <c r="AX376" s="141"/>
      <c r="AY376" s="149"/>
      <c r="AZ376" s="121"/>
      <c r="BA376" s="150"/>
      <c r="BB376" s="158"/>
      <c r="BC376" s="124"/>
      <c r="BD376" s="159"/>
      <c r="BE376" s="167"/>
      <c r="BF376" s="85"/>
      <c r="BG376" s="168"/>
      <c r="BH376" s="175"/>
      <c r="BI376" s="127"/>
      <c r="BJ376" s="176"/>
      <c r="BK376" s="184"/>
      <c r="BL376" s="130"/>
      <c r="BM376" s="185"/>
      <c r="BN376" s="69"/>
      <c r="BO376" s="85"/>
      <c r="BP376" s="85"/>
      <c r="BQ376" s="85"/>
      <c r="BR376" s="85"/>
      <c r="BS376" s="85"/>
      <c r="BT376" s="85"/>
      <c r="BU376" s="87"/>
      <c r="BV376" s="87"/>
      <c r="BW376" s="87"/>
      <c r="BX376" s="87"/>
      <c r="BY376" s="87"/>
      <c r="BZ376" s="87"/>
      <c r="CA376" s="90"/>
      <c r="CB376" s="90"/>
      <c r="CC376" s="90"/>
      <c r="CD376" s="90"/>
      <c r="CE376" s="90"/>
      <c r="CF376" s="90"/>
      <c r="CG376" s="85"/>
      <c r="CH376" s="85"/>
      <c r="CI376" s="85"/>
      <c r="CJ376" s="85"/>
      <c r="CK376" s="85"/>
      <c r="CL376" s="87"/>
      <c r="CM376" s="87"/>
      <c r="CN376" s="87"/>
      <c r="CO376" s="87"/>
      <c r="CP376" s="90"/>
      <c r="CQ376" s="90"/>
      <c r="CR376" s="90"/>
      <c r="CS376" s="90"/>
      <c r="CT376" s="85"/>
      <c r="CU376" s="85"/>
      <c r="CV376" s="85"/>
      <c r="CW376" s="85"/>
      <c r="CX376" s="85"/>
      <c r="CY376" s="85"/>
      <c r="CZ376" s="85"/>
      <c r="DA376" s="33">
        <f t="shared" si="5"/>
        <v>0</v>
      </c>
    </row>
    <row r="377" spans="36:105" ht="19" x14ac:dyDescent="0.25">
      <c r="AJ377" s="63"/>
      <c r="AK377" s="20"/>
      <c r="AL377" s="21"/>
      <c r="AM377" s="22"/>
      <c r="AN377" s="23"/>
      <c r="AO377" s="24"/>
      <c r="AP377" s="25"/>
      <c r="AQ377" s="26"/>
      <c r="AR377" s="27"/>
      <c r="AS377" s="192"/>
      <c r="AT377" s="111"/>
      <c r="AU377" s="193"/>
      <c r="AV377" s="140"/>
      <c r="AW377" s="118"/>
      <c r="AX377" s="141"/>
      <c r="AY377" s="149"/>
      <c r="AZ377" s="121"/>
      <c r="BA377" s="150"/>
      <c r="BB377" s="158"/>
      <c r="BC377" s="124"/>
      <c r="BD377" s="159"/>
      <c r="BE377" s="167"/>
      <c r="BF377" s="85"/>
      <c r="BG377" s="168"/>
      <c r="BH377" s="175"/>
      <c r="BI377" s="127"/>
      <c r="BJ377" s="176"/>
      <c r="BK377" s="184"/>
      <c r="BL377" s="130"/>
      <c r="BM377" s="185"/>
      <c r="BN377" s="69"/>
      <c r="BO377" s="85"/>
      <c r="BP377" s="85"/>
      <c r="BQ377" s="85"/>
      <c r="BR377" s="85"/>
      <c r="BS377" s="85"/>
      <c r="BT377" s="85"/>
      <c r="BU377" s="87"/>
      <c r="BV377" s="87"/>
      <c r="BW377" s="87"/>
      <c r="BX377" s="87"/>
      <c r="BY377" s="87"/>
      <c r="BZ377" s="87"/>
      <c r="CA377" s="90"/>
      <c r="CB377" s="90"/>
      <c r="CC377" s="90"/>
      <c r="CD377" s="90"/>
      <c r="CE377" s="90"/>
      <c r="CF377" s="90"/>
      <c r="CG377" s="85"/>
      <c r="CH377" s="85"/>
      <c r="CI377" s="85"/>
      <c r="CJ377" s="85"/>
      <c r="CK377" s="85"/>
      <c r="CL377" s="87"/>
      <c r="CM377" s="87"/>
      <c r="CN377" s="87"/>
      <c r="CO377" s="87"/>
      <c r="CP377" s="90"/>
      <c r="CQ377" s="90"/>
      <c r="CR377" s="90"/>
      <c r="CS377" s="90"/>
      <c r="CT377" s="85"/>
      <c r="CU377" s="85"/>
      <c r="CV377" s="85"/>
      <c r="CW377" s="85"/>
      <c r="CX377" s="85"/>
      <c r="CY377" s="85"/>
      <c r="CZ377" s="85"/>
      <c r="DA377" s="33">
        <f t="shared" si="5"/>
        <v>0</v>
      </c>
    </row>
    <row r="378" spans="36:105" ht="19" x14ac:dyDescent="0.25">
      <c r="AJ378" s="63"/>
      <c r="AK378" s="20"/>
      <c r="AL378" s="21"/>
      <c r="AM378" s="22"/>
      <c r="AN378" s="23"/>
      <c r="AO378" s="24"/>
      <c r="AP378" s="25"/>
      <c r="AQ378" s="26"/>
      <c r="AR378" s="27"/>
      <c r="AS378" s="192"/>
      <c r="AT378" s="111"/>
      <c r="AU378" s="193"/>
      <c r="AV378" s="140"/>
      <c r="AW378" s="118"/>
      <c r="AX378" s="141"/>
      <c r="AY378" s="149"/>
      <c r="AZ378" s="121"/>
      <c r="BA378" s="150"/>
      <c r="BB378" s="158"/>
      <c r="BC378" s="124"/>
      <c r="BD378" s="159"/>
      <c r="BE378" s="167"/>
      <c r="BF378" s="85"/>
      <c r="BG378" s="168"/>
      <c r="BH378" s="175"/>
      <c r="BI378" s="127"/>
      <c r="BJ378" s="176"/>
      <c r="BK378" s="184"/>
      <c r="BL378" s="130"/>
      <c r="BM378" s="185"/>
      <c r="BN378" s="69"/>
      <c r="BO378" s="85"/>
      <c r="BP378" s="85"/>
      <c r="BQ378" s="85"/>
      <c r="BR378" s="85"/>
      <c r="BS378" s="85"/>
      <c r="BT378" s="85"/>
      <c r="BU378" s="87"/>
      <c r="BV378" s="87"/>
      <c r="BW378" s="87"/>
      <c r="BX378" s="87"/>
      <c r="BY378" s="87"/>
      <c r="BZ378" s="87"/>
      <c r="CA378" s="90"/>
      <c r="CB378" s="90"/>
      <c r="CC378" s="90"/>
      <c r="CD378" s="90"/>
      <c r="CE378" s="90"/>
      <c r="CF378" s="90"/>
      <c r="CG378" s="85"/>
      <c r="CH378" s="85"/>
      <c r="CI378" s="85"/>
      <c r="CJ378" s="85"/>
      <c r="CK378" s="85"/>
      <c r="CL378" s="87"/>
      <c r="CM378" s="87"/>
      <c r="CN378" s="87"/>
      <c r="CO378" s="87"/>
      <c r="CP378" s="90"/>
      <c r="CQ378" s="90"/>
      <c r="CR378" s="90"/>
      <c r="CS378" s="90"/>
      <c r="CT378" s="85"/>
      <c r="CU378" s="85"/>
      <c r="CV378" s="85"/>
      <c r="CW378" s="85"/>
      <c r="CX378" s="85"/>
      <c r="CY378" s="85"/>
      <c r="CZ378" s="85"/>
      <c r="DA378" s="33">
        <f t="shared" si="5"/>
        <v>0</v>
      </c>
    </row>
    <row r="379" spans="36:105" ht="19" x14ac:dyDescent="0.25">
      <c r="AJ379" s="63"/>
      <c r="AK379" s="20"/>
      <c r="AL379" s="21"/>
      <c r="AM379" s="22"/>
      <c r="AN379" s="23"/>
      <c r="AO379" s="24"/>
      <c r="AP379" s="25"/>
      <c r="AQ379" s="26"/>
      <c r="AR379" s="27"/>
      <c r="AS379" s="192"/>
      <c r="AT379" s="111"/>
      <c r="AU379" s="193"/>
      <c r="AV379" s="140"/>
      <c r="AW379" s="118"/>
      <c r="AX379" s="141"/>
      <c r="AY379" s="149"/>
      <c r="AZ379" s="121"/>
      <c r="BA379" s="150"/>
      <c r="BB379" s="158"/>
      <c r="BC379" s="124"/>
      <c r="BD379" s="159"/>
      <c r="BE379" s="167"/>
      <c r="BF379" s="85"/>
      <c r="BG379" s="168"/>
      <c r="BH379" s="175"/>
      <c r="BI379" s="127"/>
      <c r="BJ379" s="176"/>
      <c r="BK379" s="184"/>
      <c r="BL379" s="130"/>
      <c r="BM379" s="185"/>
      <c r="BN379" s="69"/>
      <c r="BO379" s="85"/>
      <c r="BP379" s="85"/>
      <c r="BQ379" s="85"/>
      <c r="BR379" s="85"/>
      <c r="BS379" s="85"/>
      <c r="BT379" s="85"/>
      <c r="BU379" s="87"/>
      <c r="BV379" s="87"/>
      <c r="BW379" s="87"/>
      <c r="BX379" s="87"/>
      <c r="BY379" s="87"/>
      <c r="BZ379" s="87"/>
      <c r="CA379" s="90"/>
      <c r="CB379" s="90"/>
      <c r="CC379" s="90"/>
      <c r="CD379" s="90"/>
      <c r="CE379" s="90"/>
      <c r="CF379" s="90"/>
      <c r="CG379" s="85"/>
      <c r="CH379" s="85"/>
      <c r="CI379" s="85"/>
      <c r="CJ379" s="85"/>
      <c r="CK379" s="85"/>
      <c r="CL379" s="87"/>
      <c r="CM379" s="87"/>
      <c r="CN379" s="87"/>
      <c r="CO379" s="87"/>
      <c r="CP379" s="90"/>
      <c r="CQ379" s="90"/>
      <c r="CR379" s="90"/>
      <c r="CS379" s="90"/>
      <c r="CT379" s="85"/>
      <c r="CU379" s="85"/>
      <c r="CV379" s="85"/>
      <c r="CW379" s="85"/>
      <c r="CX379" s="85"/>
      <c r="CY379" s="85"/>
      <c r="CZ379" s="85"/>
      <c r="DA379" s="33">
        <f t="shared" si="5"/>
        <v>0</v>
      </c>
    </row>
    <row r="380" spans="36:105" ht="19" x14ac:dyDescent="0.25">
      <c r="AJ380" s="63"/>
      <c r="AK380" s="20"/>
      <c r="AL380" s="21"/>
      <c r="AM380" s="22"/>
      <c r="AN380" s="23"/>
      <c r="AO380" s="24"/>
      <c r="AP380" s="25"/>
      <c r="AQ380" s="26"/>
      <c r="AR380" s="27"/>
      <c r="AS380" s="192"/>
      <c r="AT380" s="111"/>
      <c r="AU380" s="193"/>
      <c r="AV380" s="140"/>
      <c r="AW380" s="118"/>
      <c r="AX380" s="141"/>
      <c r="AY380" s="149"/>
      <c r="AZ380" s="121"/>
      <c r="BA380" s="150"/>
      <c r="BB380" s="158"/>
      <c r="BC380" s="124"/>
      <c r="BD380" s="159"/>
      <c r="BE380" s="167"/>
      <c r="BF380" s="85"/>
      <c r="BG380" s="168"/>
      <c r="BH380" s="175"/>
      <c r="BI380" s="127"/>
      <c r="BJ380" s="176"/>
      <c r="BK380" s="184"/>
      <c r="BL380" s="130"/>
      <c r="BM380" s="185"/>
      <c r="BN380" s="69"/>
      <c r="BO380" s="85"/>
      <c r="BP380" s="85"/>
      <c r="BQ380" s="85"/>
      <c r="BR380" s="85"/>
      <c r="BS380" s="85"/>
      <c r="BT380" s="85"/>
      <c r="BU380" s="87"/>
      <c r="BV380" s="87"/>
      <c r="BW380" s="87"/>
      <c r="BX380" s="87"/>
      <c r="BY380" s="87"/>
      <c r="BZ380" s="87"/>
      <c r="CA380" s="90"/>
      <c r="CB380" s="90"/>
      <c r="CC380" s="90"/>
      <c r="CD380" s="90"/>
      <c r="CE380" s="90"/>
      <c r="CF380" s="90"/>
      <c r="CG380" s="85"/>
      <c r="CH380" s="85"/>
      <c r="CI380" s="85"/>
      <c r="CJ380" s="85"/>
      <c r="CK380" s="85"/>
      <c r="CL380" s="87"/>
      <c r="CM380" s="87"/>
      <c r="CN380" s="87"/>
      <c r="CO380" s="87"/>
      <c r="CP380" s="90"/>
      <c r="CQ380" s="90"/>
      <c r="CR380" s="90"/>
      <c r="CS380" s="90"/>
      <c r="CT380" s="85"/>
      <c r="CU380" s="85"/>
      <c r="CV380" s="85"/>
      <c r="CW380" s="85"/>
      <c r="CX380" s="85"/>
      <c r="CY380" s="85"/>
      <c r="CZ380" s="85"/>
      <c r="DA380" s="33">
        <f t="shared" si="5"/>
        <v>0</v>
      </c>
    </row>
    <row r="381" spans="36:105" ht="19" x14ac:dyDescent="0.25">
      <c r="AJ381" s="63"/>
      <c r="AK381" s="20"/>
      <c r="AL381" s="21"/>
      <c r="AM381" s="22"/>
      <c r="AN381" s="23"/>
      <c r="AO381" s="24"/>
      <c r="AP381" s="25"/>
      <c r="AQ381" s="26"/>
      <c r="AR381" s="27"/>
      <c r="AS381" s="192"/>
      <c r="AT381" s="111"/>
      <c r="AU381" s="193"/>
      <c r="AV381" s="140"/>
      <c r="AW381" s="118"/>
      <c r="AX381" s="141"/>
      <c r="AY381" s="149"/>
      <c r="AZ381" s="121"/>
      <c r="BA381" s="150"/>
      <c r="BB381" s="158"/>
      <c r="BC381" s="124"/>
      <c r="BD381" s="159"/>
      <c r="BE381" s="167"/>
      <c r="BF381" s="85"/>
      <c r="BG381" s="168"/>
      <c r="BH381" s="175"/>
      <c r="BI381" s="127"/>
      <c r="BJ381" s="176"/>
      <c r="BK381" s="184"/>
      <c r="BL381" s="130"/>
      <c r="BM381" s="185"/>
      <c r="BN381" s="69"/>
      <c r="BO381" s="85"/>
      <c r="BP381" s="85"/>
      <c r="BQ381" s="85"/>
      <c r="BR381" s="85"/>
      <c r="BS381" s="85"/>
      <c r="BT381" s="85"/>
      <c r="BU381" s="87"/>
      <c r="BV381" s="87"/>
      <c r="BW381" s="87"/>
      <c r="BX381" s="87"/>
      <c r="BY381" s="87"/>
      <c r="BZ381" s="87"/>
      <c r="CA381" s="90"/>
      <c r="CB381" s="90"/>
      <c r="CC381" s="90"/>
      <c r="CD381" s="90"/>
      <c r="CE381" s="90"/>
      <c r="CF381" s="90"/>
      <c r="CG381" s="85"/>
      <c r="CH381" s="85"/>
      <c r="CI381" s="85"/>
      <c r="CJ381" s="85"/>
      <c r="CK381" s="85"/>
      <c r="CL381" s="87"/>
      <c r="CM381" s="87"/>
      <c r="CN381" s="87"/>
      <c r="CO381" s="87"/>
      <c r="CP381" s="90"/>
      <c r="CQ381" s="90"/>
      <c r="CR381" s="90"/>
      <c r="CS381" s="90"/>
      <c r="CT381" s="85"/>
      <c r="CU381" s="85"/>
      <c r="CV381" s="85"/>
      <c r="CW381" s="85"/>
      <c r="CX381" s="85"/>
      <c r="CY381" s="85"/>
      <c r="CZ381" s="85"/>
      <c r="DA381" s="33">
        <f t="shared" si="5"/>
        <v>0</v>
      </c>
    </row>
    <row r="382" spans="36:105" ht="19" x14ac:dyDescent="0.25">
      <c r="AJ382" s="63"/>
      <c r="AK382" s="20"/>
      <c r="AL382" s="21"/>
      <c r="AM382" s="22"/>
      <c r="AN382" s="23"/>
      <c r="AO382" s="24"/>
      <c r="AP382" s="25"/>
      <c r="AQ382" s="26"/>
      <c r="AR382" s="27"/>
      <c r="AS382" s="192"/>
      <c r="AT382" s="111"/>
      <c r="AU382" s="193"/>
      <c r="AV382" s="140"/>
      <c r="AW382" s="118"/>
      <c r="AX382" s="141"/>
      <c r="AY382" s="149"/>
      <c r="AZ382" s="121"/>
      <c r="BA382" s="150"/>
      <c r="BB382" s="158"/>
      <c r="BC382" s="124"/>
      <c r="BD382" s="159"/>
      <c r="BE382" s="167"/>
      <c r="BF382" s="85"/>
      <c r="BG382" s="168"/>
      <c r="BH382" s="175"/>
      <c r="BI382" s="127"/>
      <c r="BJ382" s="176"/>
      <c r="BK382" s="184"/>
      <c r="BL382" s="130"/>
      <c r="BM382" s="185"/>
      <c r="BN382" s="69"/>
      <c r="BO382" s="85"/>
      <c r="BP382" s="85"/>
      <c r="BQ382" s="85"/>
      <c r="BR382" s="85"/>
      <c r="BS382" s="85"/>
      <c r="BT382" s="85"/>
      <c r="BU382" s="87"/>
      <c r="BV382" s="87"/>
      <c r="BW382" s="87"/>
      <c r="BX382" s="87"/>
      <c r="BY382" s="87"/>
      <c r="BZ382" s="87"/>
      <c r="CA382" s="90"/>
      <c r="CB382" s="90"/>
      <c r="CC382" s="90"/>
      <c r="CD382" s="90"/>
      <c r="CE382" s="90"/>
      <c r="CF382" s="90"/>
      <c r="CG382" s="85"/>
      <c r="CH382" s="85"/>
      <c r="CI382" s="85"/>
      <c r="CJ382" s="85"/>
      <c r="CK382" s="85"/>
      <c r="CL382" s="87"/>
      <c r="CM382" s="87"/>
      <c r="CN382" s="87"/>
      <c r="CO382" s="87"/>
      <c r="CP382" s="90"/>
      <c r="CQ382" s="90"/>
      <c r="CR382" s="90"/>
      <c r="CS382" s="90"/>
      <c r="CT382" s="85"/>
      <c r="CU382" s="85"/>
      <c r="CV382" s="85"/>
      <c r="CW382" s="85"/>
      <c r="CX382" s="85"/>
      <c r="CY382" s="85"/>
      <c r="CZ382" s="85"/>
      <c r="DA382" s="33">
        <f t="shared" si="5"/>
        <v>0</v>
      </c>
    </row>
    <row r="383" spans="36:105" ht="19" x14ac:dyDescent="0.25">
      <c r="AJ383" s="63"/>
      <c r="AK383" s="20"/>
      <c r="AL383" s="21"/>
      <c r="AM383" s="22"/>
      <c r="AN383" s="23"/>
      <c r="AO383" s="24"/>
      <c r="AP383" s="25"/>
      <c r="AQ383" s="26"/>
      <c r="AR383" s="27"/>
      <c r="AS383" s="192"/>
      <c r="AT383" s="111"/>
      <c r="AU383" s="193"/>
      <c r="AV383" s="140"/>
      <c r="AW383" s="118"/>
      <c r="AX383" s="141"/>
      <c r="AY383" s="149"/>
      <c r="AZ383" s="121"/>
      <c r="BA383" s="150"/>
      <c r="BB383" s="158"/>
      <c r="BC383" s="124"/>
      <c r="BD383" s="159"/>
      <c r="BE383" s="167"/>
      <c r="BF383" s="85"/>
      <c r="BG383" s="168"/>
      <c r="BH383" s="175"/>
      <c r="BI383" s="127"/>
      <c r="BJ383" s="176"/>
      <c r="BK383" s="184"/>
      <c r="BL383" s="130"/>
      <c r="BM383" s="185"/>
      <c r="BN383" s="69"/>
      <c r="BO383" s="85"/>
      <c r="BP383" s="85"/>
      <c r="BQ383" s="85"/>
      <c r="BR383" s="85"/>
      <c r="BS383" s="85"/>
      <c r="BT383" s="85"/>
      <c r="BU383" s="87"/>
      <c r="BV383" s="87"/>
      <c r="BW383" s="87"/>
      <c r="BX383" s="87"/>
      <c r="BY383" s="87"/>
      <c r="BZ383" s="87"/>
      <c r="CA383" s="90"/>
      <c r="CB383" s="90"/>
      <c r="CC383" s="90"/>
      <c r="CD383" s="90"/>
      <c r="CE383" s="90"/>
      <c r="CF383" s="90"/>
      <c r="CG383" s="85"/>
      <c r="CH383" s="85"/>
      <c r="CI383" s="85"/>
      <c r="CJ383" s="85"/>
      <c r="CK383" s="85"/>
      <c r="CL383" s="87"/>
      <c r="CM383" s="87"/>
      <c r="CN383" s="87"/>
      <c r="CO383" s="87"/>
      <c r="CP383" s="90"/>
      <c r="CQ383" s="90"/>
      <c r="CR383" s="90"/>
      <c r="CS383" s="90"/>
      <c r="CT383" s="85"/>
      <c r="CU383" s="85"/>
      <c r="CV383" s="85"/>
      <c r="CW383" s="85"/>
      <c r="CX383" s="85"/>
      <c r="CY383" s="85"/>
      <c r="CZ383" s="85"/>
      <c r="DA383" s="33">
        <f t="shared" si="5"/>
        <v>0</v>
      </c>
    </row>
    <row r="384" spans="36:105" ht="19" x14ac:dyDescent="0.25">
      <c r="AJ384" s="63"/>
      <c r="AK384" s="20"/>
      <c r="AL384" s="21"/>
      <c r="AM384" s="22"/>
      <c r="AN384" s="23"/>
      <c r="AO384" s="24"/>
      <c r="AP384" s="25"/>
      <c r="AQ384" s="26"/>
      <c r="AR384" s="27"/>
      <c r="AS384" s="192"/>
      <c r="AT384" s="111"/>
      <c r="AU384" s="193"/>
      <c r="AV384" s="140"/>
      <c r="AW384" s="118"/>
      <c r="AX384" s="141"/>
      <c r="AY384" s="149"/>
      <c r="AZ384" s="121"/>
      <c r="BA384" s="150"/>
      <c r="BB384" s="158"/>
      <c r="BC384" s="124"/>
      <c r="BD384" s="159"/>
      <c r="BE384" s="167"/>
      <c r="BF384" s="85"/>
      <c r="BG384" s="168"/>
      <c r="BH384" s="175"/>
      <c r="BI384" s="127"/>
      <c r="BJ384" s="176"/>
      <c r="BK384" s="184"/>
      <c r="BL384" s="130"/>
      <c r="BM384" s="185"/>
      <c r="BN384" s="69"/>
      <c r="BO384" s="85"/>
      <c r="BP384" s="85"/>
      <c r="BQ384" s="85"/>
      <c r="BR384" s="85"/>
      <c r="BS384" s="85"/>
      <c r="BT384" s="85"/>
      <c r="BU384" s="87"/>
      <c r="BV384" s="87"/>
      <c r="BW384" s="87"/>
      <c r="BX384" s="87"/>
      <c r="BY384" s="87"/>
      <c r="BZ384" s="87"/>
      <c r="CA384" s="90"/>
      <c r="CB384" s="90"/>
      <c r="CC384" s="90"/>
      <c r="CD384" s="90"/>
      <c r="CE384" s="90"/>
      <c r="CF384" s="90"/>
      <c r="CG384" s="85"/>
      <c r="CH384" s="85"/>
      <c r="CI384" s="85"/>
      <c r="CJ384" s="85"/>
      <c r="CK384" s="85"/>
      <c r="CL384" s="87"/>
      <c r="CM384" s="87"/>
      <c r="CN384" s="87"/>
      <c r="CO384" s="87"/>
      <c r="CP384" s="90"/>
      <c r="CQ384" s="90"/>
      <c r="CR384" s="90"/>
      <c r="CS384" s="90"/>
      <c r="CT384" s="85"/>
      <c r="CU384" s="85"/>
      <c r="CV384" s="85"/>
      <c r="CW384" s="85"/>
      <c r="CX384" s="85"/>
      <c r="CY384" s="85"/>
      <c r="CZ384" s="85"/>
      <c r="DA384" s="33">
        <f t="shared" si="5"/>
        <v>0</v>
      </c>
    </row>
    <row r="385" spans="36:105" ht="19" x14ac:dyDescent="0.25">
      <c r="AJ385" s="63"/>
      <c r="AK385" s="20"/>
      <c r="AL385" s="21"/>
      <c r="AM385" s="22"/>
      <c r="AN385" s="23"/>
      <c r="AO385" s="24"/>
      <c r="AP385" s="25"/>
      <c r="AQ385" s="26"/>
      <c r="AR385" s="27"/>
      <c r="AS385" s="192"/>
      <c r="AT385" s="111"/>
      <c r="AU385" s="193"/>
      <c r="AV385" s="140"/>
      <c r="AW385" s="118"/>
      <c r="AX385" s="141"/>
      <c r="AY385" s="149"/>
      <c r="AZ385" s="121"/>
      <c r="BA385" s="150"/>
      <c r="BB385" s="158"/>
      <c r="BC385" s="124"/>
      <c r="BD385" s="159"/>
      <c r="BE385" s="167"/>
      <c r="BF385" s="85"/>
      <c r="BG385" s="168"/>
      <c r="BH385" s="175"/>
      <c r="BI385" s="127"/>
      <c r="BJ385" s="176"/>
      <c r="BK385" s="184"/>
      <c r="BL385" s="130"/>
      <c r="BM385" s="185"/>
      <c r="BN385" s="69"/>
      <c r="BO385" s="85"/>
      <c r="BP385" s="85"/>
      <c r="BQ385" s="85"/>
      <c r="BR385" s="85"/>
      <c r="BS385" s="85"/>
      <c r="BT385" s="85"/>
      <c r="BU385" s="87"/>
      <c r="BV385" s="87"/>
      <c r="BW385" s="87"/>
      <c r="BX385" s="87"/>
      <c r="BY385" s="87"/>
      <c r="BZ385" s="87"/>
      <c r="CA385" s="90"/>
      <c r="CB385" s="90"/>
      <c r="CC385" s="90"/>
      <c r="CD385" s="90"/>
      <c r="CE385" s="90"/>
      <c r="CF385" s="90"/>
      <c r="CG385" s="85"/>
      <c r="CH385" s="85"/>
      <c r="CI385" s="85"/>
      <c r="CJ385" s="85"/>
      <c r="CK385" s="85"/>
      <c r="CL385" s="87"/>
      <c r="CM385" s="87"/>
      <c r="CN385" s="87"/>
      <c r="CO385" s="87"/>
      <c r="CP385" s="90"/>
      <c r="CQ385" s="90"/>
      <c r="CR385" s="90"/>
      <c r="CS385" s="90"/>
      <c r="CT385" s="85"/>
      <c r="CU385" s="85"/>
      <c r="CV385" s="85"/>
      <c r="CW385" s="85"/>
      <c r="CX385" s="85"/>
      <c r="CY385" s="85"/>
      <c r="CZ385" s="85"/>
      <c r="DA385" s="33">
        <f t="shared" si="5"/>
        <v>0</v>
      </c>
    </row>
    <row r="386" spans="36:105" ht="19" x14ac:dyDescent="0.25">
      <c r="AJ386" s="63"/>
      <c r="AK386" s="20"/>
      <c r="AL386" s="21"/>
      <c r="AM386" s="22"/>
      <c r="AN386" s="23"/>
      <c r="AO386" s="24"/>
      <c r="AP386" s="25"/>
      <c r="AQ386" s="26"/>
      <c r="AR386" s="27"/>
      <c r="AS386" s="192"/>
      <c r="AT386" s="111"/>
      <c r="AU386" s="193"/>
      <c r="AV386" s="140"/>
      <c r="AW386" s="118"/>
      <c r="AX386" s="141"/>
      <c r="AY386" s="149"/>
      <c r="AZ386" s="121"/>
      <c r="BA386" s="150"/>
      <c r="BB386" s="158"/>
      <c r="BC386" s="124"/>
      <c r="BD386" s="159"/>
      <c r="BE386" s="167"/>
      <c r="BF386" s="85"/>
      <c r="BG386" s="168"/>
      <c r="BH386" s="175"/>
      <c r="BI386" s="127"/>
      <c r="BJ386" s="176"/>
      <c r="BK386" s="184"/>
      <c r="BL386" s="130"/>
      <c r="BM386" s="185"/>
      <c r="BN386" s="69"/>
      <c r="BO386" s="85"/>
      <c r="BP386" s="85"/>
      <c r="BQ386" s="85"/>
      <c r="BR386" s="85"/>
      <c r="BS386" s="85"/>
      <c r="BT386" s="85"/>
      <c r="BU386" s="87"/>
      <c r="BV386" s="87"/>
      <c r="BW386" s="87"/>
      <c r="BX386" s="87"/>
      <c r="BY386" s="87"/>
      <c r="BZ386" s="87"/>
      <c r="CA386" s="90"/>
      <c r="CB386" s="90"/>
      <c r="CC386" s="90"/>
      <c r="CD386" s="90"/>
      <c r="CE386" s="90"/>
      <c r="CF386" s="90"/>
      <c r="CG386" s="85"/>
      <c r="CH386" s="85"/>
      <c r="CI386" s="85"/>
      <c r="CJ386" s="85"/>
      <c r="CK386" s="85"/>
      <c r="CL386" s="87"/>
      <c r="CM386" s="87"/>
      <c r="CN386" s="87"/>
      <c r="CO386" s="87"/>
      <c r="CP386" s="90"/>
      <c r="CQ386" s="90"/>
      <c r="CR386" s="90"/>
      <c r="CS386" s="90"/>
      <c r="CT386" s="85"/>
      <c r="CU386" s="85"/>
      <c r="CV386" s="85"/>
      <c r="CW386" s="85"/>
      <c r="CX386" s="85"/>
      <c r="CY386" s="85"/>
      <c r="CZ386" s="85"/>
      <c r="DA386" s="33">
        <f t="shared" si="5"/>
        <v>0</v>
      </c>
    </row>
    <row r="387" spans="36:105" ht="19" x14ac:dyDescent="0.25">
      <c r="AJ387" s="63"/>
      <c r="AK387" s="20"/>
      <c r="AL387" s="21"/>
      <c r="AM387" s="22"/>
      <c r="AN387" s="23"/>
      <c r="AO387" s="24"/>
      <c r="AP387" s="25"/>
      <c r="AQ387" s="26"/>
      <c r="AR387" s="27"/>
      <c r="AS387" s="192"/>
      <c r="AT387" s="111"/>
      <c r="AU387" s="193"/>
      <c r="AV387" s="140"/>
      <c r="AW387" s="118"/>
      <c r="AX387" s="141"/>
      <c r="AY387" s="149"/>
      <c r="AZ387" s="121"/>
      <c r="BA387" s="150"/>
      <c r="BB387" s="158"/>
      <c r="BC387" s="124"/>
      <c r="BD387" s="159"/>
      <c r="BE387" s="167"/>
      <c r="BF387" s="85"/>
      <c r="BG387" s="168"/>
      <c r="BH387" s="175"/>
      <c r="BI387" s="127"/>
      <c r="BJ387" s="176"/>
      <c r="BK387" s="184"/>
      <c r="BL387" s="130"/>
      <c r="BM387" s="185"/>
      <c r="BN387" s="69"/>
      <c r="BO387" s="85"/>
      <c r="BP387" s="85"/>
      <c r="BQ387" s="85"/>
      <c r="BR387" s="85"/>
      <c r="BS387" s="85"/>
      <c r="BT387" s="85"/>
      <c r="BU387" s="87"/>
      <c r="BV387" s="87"/>
      <c r="BW387" s="87"/>
      <c r="BX387" s="87"/>
      <c r="BY387" s="87"/>
      <c r="BZ387" s="87"/>
      <c r="CA387" s="90"/>
      <c r="CB387" s="90"/>
      <c r="CC387" s="90"/>
      <c r="CD387" s="90"/>
      <c r="CE387" s="90"/>
      <c r="CF387" s="90"/>
      <c r="CG387" s="85"/>
      <c r="CH387" s="85"/>
      <c r="CI387" s="85"/>
      <c r="CJ387" s="85"/>
      <c r="CK387" s="85"/>
      <c r="CL387" s="87"/>
      <c r="CM387" s="87"/>
      <c r="CN387" s="87"/>
      <c r="CO387" s="87"/>
      <c r="CP387" s="90"/>
      <c r="CQ387" s="90"/>
      <c r="CR387" s="90"/>
      <c r="CS387" s="90"/>
      <c r="CT387" s="85"/>
      <c r="CU387" s="85"/>
      <c r="CV387" s="85"/>
      <c r="CW387" s="85"/>
      <c r="CX387" s="85"/>
      <c r="CY387" s="85"/>
      <c r="CZ387" s="85"/>
      <c r="DA387" s="33">
        <f t="shared" si="5"/>
        <v>0</v>
      </c>
    </row>
    <row r="388" spans="36:105" ht="19" x14ac:dyDescent="0.25">
      <c r="AJ388" s="63"/>
      <c r="AK388" s="20"/>
      <c r="AL388" s="21"/>
      <c r="AM388" s="22"/>
      <c r="AN388" s="23"/>
      <c r="AO388" s="24"/>
      <c r="AP388" s="25"/>
      <c r="AQ388" s="26"/>
      <c r="AR388" s="27"/>
      <c r="AS388" s="192"/>
      <c r="AT388" s="111"/>
      <c r="AU388" s="193"/>
      <c r="AV388" s="140"/>
      <c r="AW388" s="118"/>
      <c r="AX388" s="141"/>
      <c r="AY388" s="149"/>
      <c r="AZ388" s="121"/>
      <c r="BA388" s="150"/>
      <c r="BB388" s="158"/>
      <c r="BC388" s="124"/>
      <c r="BD388" s="159"/>
      <c r="BE388" s="167"/>
      <c r="BF388" s="85"/>
      <c r="BG388" s="168"/>
      <c r="BH388" s="175"/>
      <c r="BI388" s="127"/>
      <c r="BJ388" s="176"/>
      <c r="BK388" s="184"/>
      <c r="BL388" s="130"/>
      <c r="BM388" s="185"/>
      <c r="BN388" s="69"/>
      <c r="BO388" s="85"/>
      <c r="BP388" s="85"/>
      <c r="BQ388" s="85"/>
      <c r="BR388" s="85"/>
      <c r="BS388" s="85"/>
      <c r="BT388" s="85"/>
      <c r="BU388" s="87"/>
      <c r="BV388" s="87"/>
      <c r="BW388" s="87"/>
      <c r="BX388" s="87"/>
      <c r="BY388" s="87"/>
      <c r="BZ388" s="87"/>
      <c r="CA388" s="90"/>
      <c r="CB388" s="90"/>
      <c r="CC388" s="90"/>
      <c r="CD388" s="90"/>
      <c r="CE388" s="90"/>
      <c r="CF388" s="90"/>
      <c r="CG388" s="85"/>
      <c r="CH388" s="85"/>
      <c r="CI388" s="85"/>
      <c r="CJ388" s="85"/>
      <c r="CK388" s="85"/>
      <c r="CL388" s="87"/>
      <c r="CM388" s="87"/>
      <c r="CN388" s="87"/>
      <c r="CO388" s="87"/>
      <c r="CP388" s="90"/>
      <c r="CQ388" s="90"/>
      <c r="CR388" s="90"/>
      <c r="CS388" s="90"/>
      <c r="CT388" s="85"/>
      <c r="CU388" s="85"/>
      <c r="CV388" s="85"/>
      <c r="CW388" s="85"/>
      <c r="CX388" s="85"/>
      <c r="CY388" s="85"/>
      <c r="CZ388" s="85"/>
      <c r="DA388" s="33">
        <f t="shared" si="5"/>
        <v>0</v>
      </c>
    </row>
    <row r="389" spans="36:105" ht="19" x14ac:dyDescent="0.25">
      <c r="AJ389" s="63"/>
      <c r="AK389" s="20"/>
      <c r="AL389" s="21"/>
      <c r="AM389" s="22"/>
      <c r="AN389" s="23"/>
      <c r="AO389" s="24"/>
      <c r="AP389" s="25"/>
      <c r="AQ389" s="26"/>
      <c r="AR389" s="27"/>
      <c r="AS389" s="192"/>
      <c r="AT389" s="111"/>
      <c r="AU389" s="193"/>
      <c r="AV389" s="140"/>
      <c r="AW389" s="118"/>
      <c r="AX389" s="141"/>
      <c r="AY389" s="149"/>
      <c r="AZ389" s="121"/>
      <c r="BA389" s="150"/>
      <c r="BB389" s="158"/>
      <c r="BC389" s="124"/>
      <c r="BD389" s="159"/>
      <c r="BE389" s="167"/>
      <c r="BF389" s="85"/>
      <c r="BG389" s="168"/>
      <c r="BH389" s="175"/>
      <c r="BI389" s="127"/>
      <c r="BJ389" s="176"/>
      <c r="BK389" s="184"/>
      <c r="BL389" s="130"/>
      <c r="BM389" s="185"/>
      <c r="BN389" s="69"/>
      <c r="BO389" s="85"/>
      <c r="BP389" s="85"/>
      <c r="BQ389" s="85"/>
      <c r="BR389" s="85"/>
      <c r="BS389" s="85"/>
      <c r="BT389" s="85"/>
      <c r="BU389" s="87"/>
      <c r="BV389" s="87"/>
      <c r="BW389" s="87"/>
      <c r="BX389" s="87"/>
      <c r="BY389" s="87"/>
      <c r="BZ389" s="87"/>
      <c r="CA389" s="90"/>
      <c r="CB389" s="90"/>
      <c r="CC389" s="90"/>
      <c r="CD389" s="90"/>
      <c r="CE389" s="90"/>
      <c r="CF389" s="90"/>
      <c r="CG389" s="85"/>
      <c r="CH389" s="85"/>
      <c r="CI389" s="85"/>
      <c r="CJ389" s="85"/>
      <c r="CK389" s="85"/>
      <c r="CL389" s="87"/>
      <c r="CM389" s="87"/>
      <c r="CN389" s="87"/>
      <c r="CO389" s="87"/>
      <c r="CP389" s="90"/>
      <c r="CQ389" s="90"/>
      <c r="CR389" s="90"/>
      <c r="CS389" s="90"/>
      <c r="CT389" s="85"/>
      <c r="CU389" s="85"/>
      <c r="CV389" s="85"/>
      <c r="CW389" s="85"/>
      <c r="CX389" s="85"/>
      <c r="CY389" s="85"/>
      <c r="CZ389" s="85"/>
      <c r="DA389" s="33">
        <f t="shared" si="5"/>
        <v>0</v>
      </c>
    </row>
    <row r="390" spans="36:105" ht="19" x14ac:dyDescent="0.25">
      <c r="AJ390" s="63"/>
      <c r="AK390" s="20"/>
      <c r="AL390" s="21"/>
      <c r="AM390" s="22"/>
      <c r="AN390" s="23"/>
      <c r="AO390" s="24"/>
      <c r="AP390" s="25"/>
      <c r="AQ390" s="26"/>
      <c r="AR390" s="27"/>
      <c r="AS390" s="192"/>
      <c r="AT390" s="111"/>
      <c r="AU390" s="193"/>
      <c r="AV390" s="140"/>
      <c r="AW390" s="118"/>
      <c r="AX390" s="141"/>
      <c r="AY390" s="149"/>
      <c r="AZ390" s="121"/>
      <c r="BA390" s="150"/>
      <c r="BB390" s="158"/>
      <c r="BC390" s="124"/>
      <c r="BD390" s="159"/>
      <c r="BE390" s="167"/>
      <c r="BF390" s="85"/>
      <c r="BG390" s="168"/>
      <c r="BH390" s="175"/>
      <c r="BI390" s="127"/>
      <c r="BJ390" s="176"/>
      <c r="BK390" s="184"/>
      <c r="BL390" s="130"/>
      <c r="BM390" s="185"/>
      <c r="BN390" s="69"/>
      <c r="BO390" s="85"/>
      <c r="BP390" s="85"/>
      <c r="BQ390" s="85"/>
      <c r="BR390" s="85"/>
      <c r="BS390" s="85"/>
      <c r="BT390" s="85"/>
      <c r="BU390" s="87"/>
      <c r="BV390" s="87"/>
      <c r="BW390" s="87"/>
      <c r="BX390" s="87"/>
      <c r="BY390" s="87"/>
      <c r="BZ390" s="87"/>
      <c r="CA390" s="90"/>
      <c r="CB390" s="90"/>
      <c r="CC390" s="90"/>
      <c r="CD390" s="90"/>
      <c r="CE390" s="90"/>
      <c r="CF390" s="90"/>
      <c r="CG390" s="85"/>
      <c r="CH390" s="85"/>
      <c r="CI390" s="85"/>
      <c r="CJ390" s="85"/>
      <c r="CK390" s="85"/>
      <c r="CL390" s="87"/>
      <c r="CM390" s="87"/>
      <c r="CN390" s="87"/>
      <c r="CO390" s="87"/>
      <c r="CP390" s="90"/>
      <c r="CQ390" s="90"/>
      <c r="CR390" s="90"/>
      <c r="CS390" s="90"/>
      <c r="CT390" s="85"/>
      <c r="CU390" s="85"/>
      <c r="CV390" s="85"/>
      <c r="CW390" s="85"/>
      <c r="CX390" s="85"/>
      <c r="CY390" s="85"/>
      <c r="CZ390" s="85"/>
      <c r="DA390" s="33">
        <f t="shared" si="5"/>
        <v>0</v>
      </c>
    </row>
    <row r="391" spans="36:105" ht="19" x14ac:dyDescent="0.25">
      <c r="AJ391" s="63"/>
      <c r="AK391" s="20"/>
      <c r="AL391" s="21"/>
      <c r="AM391" s="22"/>
      <c r="AN391" s="23"/>
      <c r="AO391" s="24"/>
      <c r="AP391" s="25"/>
      <c r="AQ391" s="26"/>
      <c r="AR391" s="27"/>
      <c r="AS391" s="192"/>
      <c r="AT391" s="111"/>
      <c r="AU391" s="193"/>
      <c r="AV391" s="140"/>
      <c r="AW391" s="118"/>
      <c r="AX391" s="141"/>
      <c r="AY391" s="149"/>
      <c r="AZ391" s="121"/>
      <c r="BA391" s="150"/>
      <c r="BB391" s="158"/>
      <c r="BC391" s="124"/>
      <c r="BD391" s="159"/>
      <c r="BE391" s="167"/>
      <c r="BF391" s="85"/>
      <c r="BG391" s="168"/>
      <c r="BH391" s="175"/>
      <c r="BI391" s="127"/>
      <c r="BJ391" s="176"/>
      <c r="BK391" s="184"/>
      <c r="BL391" s="130"/>
      <c r="BM391" s="185"/>
      <c r="BN391" s="69"/>
      <c r="BO391" s="85"/>
      <c r="BP391" s="85"/>
      <c r="BQ391" s="85"/>
      <c r="BR391" s="85"/>
      <c r="BS391" s="85"/>
      <c r="BT391" s="85"/>
      <c r="BU391" s="87"/>
      <c r="BV391" s="87"/>
      <c r="BW391" s="87"/>
      <c r="BX391" s="87"/>
      <c r="BY391" s="87"/>
      <c r="BZ391" s="87"/>
      <c r="CA391" s="90"/>
      <c r="CB391" s="90"/>
      <c r="CC391" s="90"/>
      <c r="CD391" s="90"/>
      <c r="CE391" s="90"/>
      <c r="CF391" s="90"/>
      <c r="CG391" s="85"/>
      <c r="CH391" s="85"/>
      <c r="CI391" s="85"/>
      <c r="CJ391" s="85"/>
      <c r="CK391" s="85"/>
      <c r="CL391" s="87"/>
      <c r="CM391" s="87"/>
      <c r="CN391" s="87"/>
      <c r="CO391" s="87"/>
      <c r="CP391" s="90"/>
      <c r="CQ391" s="90"/>
      <c r="CR391" s="90"/>
      <c r="CS391" s="90"/>
      <c r="CT391" s="85"/>
      <c r="CU391" s="85"/>
      <c r="CV391" s="85"/>
      <c r="CW391" s="85"/>
      <c r="CX391" s="85"/>
      <c r="CY391" s="85"/>
      <c r="CZ391" s="85"/>
      <c r="DA391" s="33">
        <f t="shared" si="5"/>
        <v>0</v>
      </c>
    </row>
    <row r="392" spans="36:105" ht="19" x14ac:dyDescent="0.25">
      <c r="AJ392" s="63"/>
      <c r="AK392" s="20"/>
      <c r="AL392" s="21"/>
      <c r="AM392" s="22"/>
      <c r="AN392" s="23"/>
      <c r="AO392" s="24"/>
      <c r="AP392" s="25"/>
      <c r="AQ392" s="26"/>
      <c r="AR392" s="27"/>
      <c r="AS392" s="192"/>
      <c r="AT392" s="111"/>
      <c r="AU392" s="193"/>
      <c r="AV392" s="140"/>
      <c r="AW392" s="118"/>
      <c r="AX392" s="141"/>
      <c r="AY392" s="149"/>
      <c r="AZ392" s="121"/>
      <c r="BA392" s="150"/>
      <c r="BB392" s="158"/>
      <c r="BC392" s="124"/>
      <c r="BD392" s="159"/>
      <c r="BE392" s="167"/>
      <c r="BF392" s="85"/>
      <c r="BG392" s="168"/>
      <c r="BH392" s="175"/>
      <c r="BI392" s="127"/>
      <c r="BJ392" s="176"/>
      <c r="BK392" s="184"/>
      <c r="BL392" s="130"/>
      <c r="BM392" s="185"/>
      <c r="BN392" s="69"/>
      <c r="BO392" s="85"/>
      <c r="BP392" s="85"/>
      <c r="BQ392" s="85"/>
      <c r="BR392" s="85"/>
      <c r="BS392" s="85"/>
      <c r="BT392" s="85"/>
      <c r="BU392" s="87"/>
      <c r="BV392" s="87"/>
      <c r="BW392" s="87"/>
      <c r="BX392" s="87"/>
      <c r="BY392" s="87"/>
      <c r="BZ392" s="87"/>
      <c r="CA392" s="90"/>
      <c r="CB392" s="90"/>
      <c r="CC392" s="90"/>
      <c r="CD392" s="90"/>
      <c r="CE392" s="90"/>
      <c r="CF392" s="90"/>
      <c r="CG392" s="85"/>
      <c r="CH392" s="85"/>
      <c r="CI392" s="85"/>
      <c r="CJ392" s="85"/>
      <c r="CK392" s="85"/>
      <c r="CL392" s="87"/>
      <c r="CM392" s="87"/>
      <c r="CN392" s="87"/>
      <c r="CO392" s="87"/>
      <c r="CP392" s="90"/>
      <c r="CQ392" s="90"/>
      <c r="CR392" s="90"/>
      <c r="CS392" s="90"/>
      <c r="CT392" s="85"/>
      <c r="CU392" s="85"/>
      <c r="CV392" s="85"/>
      <c r="CW392" s="85"/>
      <c r="CX392" s="85"/>
      <c r="CY392" s="85"/>
      <c r="CZ392" s="85"/>
      <c r="DA392" s="33">
        <f t="shared" si="5"/>
        <v>0</v>
      </c>
    </row>
    <row r="393" spans="36:105" ht="19" x14ac:dyDescent="0.25">
      <c r="AJ393" s="63"/>
      <c r="AK393" s="20"/>
      <c r="AL393" s="21"/>
      <c r="AM393" s="22"/>
      <c r="AN393" s="23"/>
      <c r="AO393" s="24"/>
      <c r="AP393" s="25"/>
      <c r="AQ393" s="26"/>
      <c r="AR393" s="27"/>
      <c r="AS393" s="192"/>
      <c r="AT393" s="111"/>
      <c r="AU393" s="193"/>
      <c r="AV393" s="140"/>
      <c r="AW393" s="118"/>
      <c r="AX393" s="141"/>
      <c r="AY393" s="149"/>
      <c r="AZ393" s="121"/>
      <c r="BA393" s="150"/>
      <c r="BB393" s="158"/>
      <c r="BC393" s="124"/>
      <c r="BD393" s="159"/>
      <c r="BE393" s="167"/>
      <c r="BF393" s="85"/>
      <c r="BG393" s="168"/>
      <c r="BH393" s="175"/>
      <c r="BI393" s="127"/>
      <c r="BJ393" s="176"/>
      <c r="BK393" s="184"/>
      <c r="BL393" s="130"/>
      <c r="BM393" s="185"/>
      <c r="BN393" s="69"/>
      <c r="BO393" s="85"/>
      <c r="BP393" s="85"/>
      <c r="BQ393" s="85"/>
      <c r="BR393" s="85"/>
      <c r="BS393" s="85"/>
      <c r="BT393" s="85"/>
      <c r="BU393" s="87"/>
      <c r="BV393" s="87"/>
      <c r="BW393" s="87"/>
      <c r="BX393" s="87"/>
      <c r="BY393" s="87"/>
      <c r="BZ393" s="87"/>
      <c r="CA393" s="90"/>
      <c r="CB393" s="90"/>
      <c r="CC393" s="90"/>
      <c r="CD393" s="90"/>
      <c r="CE393" s="90"/>
      <c r="CF393" s="90"/>
      <c r="CG393" s="85"/>
      <c r="CH393" s="85"/>
      <c r="CI393" s="85"/>
      <c r="CJ393" s="85"/>
      <c r="CK393" s="85"/>
      <c r="CL393" s="87"/>
      <c r="CM393" s="87"/>
      <c r="CN393" s="87"/>
      <c r="CO393" s="87"/>
      <c r="CP393" s="90"/>
      <c r="CQ393" s="90"/>
      <c r="CR393" s="90"/>
      <c r="CS393" s="90"/>
      <c r="CT393" s="85"/>
      <c r="CU393" s="85"/>
      <c r="CV393" s="85"/>
      <c r="CW393" s="85"/>
      <c r="CX393" s="85"/>
      <c r="CY393" s="85"/>
      <c r="CZ393" s="85"/>
      <c r="DA393" s="33">
        <f t="shared" si="5"/>
        <v>0</v>
      </c>
    </row>
    <row r="394" spans="36:105" ht="19" x14ac:dyDescent="0.25">
      <c r="AJ394" s="63"/>
      <c r="AK394" s="20"/>
      <c r="AL394" s="21"/>
      <c r="AM394" s="22"/>
      <c r="AN394" s="23"/>
      <c r="AO394" s="24"/>
      <c r="AP394" s="25"/>
      <c r="AQ394" s="26"/>
      <c r="AR394" s="27"/>
      <c r="AS394" s="192"/>
      <c r="AT394" s="111"/>
      <c r="AU394" s="193"/>
      <c r="AV394" s="140"/>
      <c r="AW394" s="118"/>
      <c r="AX394" s="141"/>
      <c r="AY394" s="149"/>
      <c r="AZ394" s="121"/>
      <c r="BA394" s="150"/>
      <c r="BB394" s="158"/>
      <c r="BC394" s="124"/>
      <c r="BD394" s="159"/>
      <c r="BE394" s="167"/>
      <c r="BF394" s="85"/>
      <c r="BG394" s="168"/>
      <c r="BH394" s="175"/>
      <c r="BI394" s="127"/>
      <c r="BJ394" s="176"/>
      <c r="BK394" s="184"/>
      <c r="BL394" s="130"/>
      <c r="BM394" s="185"/>
      <c r="BN394" s="69"/>
      <c r="BO394" s="85"/>
      <c r="BP394" s="85"/>
      <c r="BQ394" s="85"/>
      <c r="BR394" s="85"/>
      <c r="BS394" s="85"/>
      <c r="BT394" s="85"/>
      <c r="BU394" s="87"/>
      <c r="BV394" s="87"/>
      <c r="BW394" s="87"/>
      <c r="BX394" s="87"/>
      <c r="BY394" s="87"/>
      <c r="BZ394" s="87"/>
      <c r="CA394" s="90"/>
      <c r="CB394" s="90"/>
      <c r="CC394" s="90"/>
      <c r="CD394" s="90"/>
      <c r="CE394" s="90"/>
      <c r="CF394" s="90"/>
      <c r="CG394" s="85"/>
      <c r="CH394" s="85"/>
      <c r="CI394" s="85"/>
      <c r="CJ394" s="85"/>
      <c r="CK394" s="85"/>
      <c r="CL394" s="87"/>
      <c r="CM394" s="87"/>
      <c r="CN394" s="87"/>
      <c r="CO394" s="87"/>
      <c r="CP394" s="90"/>
      <c r="CQ394" s="90"/>
      <c r="CR394" s="90"/>
      <c r="CS394" s="90"/>
      <c r="CT394" s="85"/>
      <c r="CU394" s="85"/>
      <c r="CV394" s="85"/>
      <c r="CW394" s="85"/>
      <c r="CX394" s="85"/>
      <c r="CY394" s="85"/>
      <c r="CZ394" s="85"/>
      <c r="DA394" s="33">
        <f t="shared" si="5"/>
        <v>0</v>
      </c>
    </row>
    <row r="395" spans="36:105" ht="19" x14ac:dyDescent="0.25">
      <c r="AJ395" s="63"/>
      <c r="AK395" s="20"/>
      <c r="AL395" s="21"/>
      <c r="AM395" s="22"/>
      <c r="AN395" s="23"/>
      <c r="AO395" s="24"/>
      <c r="AP395" s="25"/>
      <c r="AQ395" s="26"/>
      <c r="AR395" s="27"/>
      <c r="AS395" s="192"/>
      <c r="AT395" s="111"/>
      <c r="AU395" s="193"/>
      <c r="AV395" s="140"/>
      <c r="AW395" s="118"/>
      <c r="AX395" s="141"/>
      <c r="AY395" s="149"/>
      <c r="AZ395" s="121"/>
      <c r="BA395" s="150"/>
      <c r="BB395" s="158"/>
      <c r="BC395" s="124"/>
      <c r="BD395" s="159"/>
      <c r="BE395" s="167"/>
      <c r="BF395" s="85"/>
      <c r="BG395" s="168"/>
      <c r="BH395" s="175"/>
      <c r="BI395" s="127"/>
      <c r="BJ395" s="176"/>
      <c r="BK395" s="184"/>
      <c r="BL395" s="130"/>
      <c r="BM395" s="185"/>
      <c r="BN395" s="69"/>
      <c r="BO395" s="85"/>
      <c r="BP395" s="85"/>
      <c r="BQ395" s="85"/>
      <c r="BR395" s="85"/>
      <c r="BS395" s="85"/>
      <c r="BT395" s="85"/>
      <c r="BU395" s="87"/>
      <c r="BV395" s="87"/>
      <c r="BW395" s="87"/>
      <c r="BX395" s="87"/>
      <c r="BY395" s="87"/>
      <c r="BZ395" s="87"/>
      <c r="CA395" s="90"/>
      <c r="CB395" s="90"/>
      <c r="CC395" s="90"/>
      <c r="CD395" s="90"/>
      <c r="CE395" s="90"/>
      <c r="CF395" s="90"/>
      <c r="CG395" s="85"/>
      <c r="CH395" s="85"/>
      <c r="CI395" s="85"/>
      <c r="CJ395" s="85"/>
      <c r="CK395" s="85"/>
      <c r="CL395" s="87"/>
      <c r="CM395" s="87"/>
      <c r="CN395" s="87"/>
      <c r="CO395" s="87"/>
      <c r="CP395" s="90"/>
      <c r="CQ395" s="90"/>
      <c r="CR395" s="90"/>
      <c r="CS395" s="90"/>
      <c r="CT395" s="85"/>
      <c r="CU395" s="85"/>
      <c r="CV395" s="85"/>
      <c r="CW395" s="85"/>
      <c r="CX395" s="85"/>
      <c r="CY395" s="85"/>
      <c r="CZ395" s="85"/>
      <c r="DA395" s="33">
        <f t="shared" si="5"/>
        <v>0</v>
      </c>
    </row>
    <row r="396" spans="36:105" ht="19" x14ac:dyDescent="0.25">
      <c r="AJ396" s="63"/>
      <c r="AK396" s="20"/>
      <c r="AL396" s="21"/>
      <c r="AM396" s="22"/>
      <c r="AN396" s="23"/>
      <c r="AO396" s="24"/>
      <c r="AP396" s="25"/>
      <c r="AQ396" s="26"/>
      <c r="AR396" s="27"/>
      <c r="AS396" s="192"/>
      <c r="AT396" s="111"/>
      <c r="AU396" s="193"/>
      <c r="AV396" s="140"/>
      <c r="AW396" s="118"/>
      <c r="AX396" s="141"/>
      <c r="AY396" s="149"/>
      <c r="AZ396" s="121"/>
      <c r="BA396" s="150"/>
      <c r="BB396" s="158"/>
      <c r="BC396" s="124"/>
      <c r="BD396" s="159"/>
      <c r="BE396" s="167"/>
      <c r="BF396" s="85"/>
      <c r="BG396" s="168"/>
      <c r="BH396" s="175"/>
      <c r="BI396" s="127"/>
      <c r="BJ396" s="176"/>
      <c r="BK396" s="184"/>
      <c r="BL396" s="130"/>
      <c r="BM396" s="185"/>
      <c r="BN396" s="69"/>
      <c r="BO396" s="85"/>
      <c r="BP396" s="85"/>
      <c r="BQ396" s="85"/>
      <c r="BR396" s="85"/>
      <c r="BS396" s="85"/>
      <c r="BT396" s="85"/>
      <c r="BU396" s="87"/>
      <c r="BV396" s="87"/>
      <c r="BW396" s="87"/>
      <c r="BX396" s="87"/>
      <c r="BY396" s="87"/>
      <c r="BZ396" s="87"/>
      <c r="CA396" s="90"/>
      <c r="CB396" s="90"/>
      <c r="CC396" s="90"/>
      <c r="CD396" s="90"/>
      <c r="CE396" s="90"/>
      <c r="CF396" s="90"/>
      <c r="CG396" s="85"/>
      <c r="CH396" s="85"/>
      <c r="CI396" s="85"/>
      <c r="CJ396" s="85"/>
      <c r="CK396" s="85"/>
      <c r="CL396" s="87"/>
      <c r="CM396" s="87"/>
      <c r="CN396" s="87"/>
      <c r="CO396" s="87"/>
      <c r="CP396" s="90"/>
      <c r="CQ396" s="90"/>
      <c r="CR396" s="90"/>
      <c r="CS396" s="90"/>
      <c r="CT396" s="85"/>
      <c r="CU396" s="85"/>
      <c r="CV396" s="85"/>
      <c r="CW396" s="85"/>
      <c r="CX396" s="85"/>
      <c r="CY396" s="85"/>
      <c r="CZ396" s="85"/>
      <c r="DA396" s="33">
        <f t="shared" si="5"/>
        <v>0</v>
      </c>
    </row>
    <row r="397" spans="36:105" ht="19" x14ac:dyDescent="0.25">
      <c r="AJ397" s="63"/>
      <c r="AK397" s="20"/>
      <c r="AL397" s="21"/>
      <c r="AM397" s="22"/>
      <c r="AN397" s="23"/>
      <c r="AO397" s="24"/>
      <c r="AP397" s="25"/>
      <c r="AQ397" s="26"/>
      <c r="AR397" s="27"/>
      <c r="AS397" s="192"/>
      <c r="AT397" s="111"/>
      <c r="AU397" s="193"/>
      <c r="AV397" s="140"/>
      <c r="AW397" s="118"/>
      <c r="AX397" s="141"/>
      <c r="AY397" s="149"/>
      <c r="AZ397" s="121"/>
      <c r="BA397" s="150"/>
      <c r="BB397" s="158"/>
      <c r="BC397" s="124"/>
      <c r="BD397" s="159"/>
      <c r="BE397" s="167"/>
      <c r="BF397" s="85"/>
      <c r="BG397" s="168"/>
      <c r="BH397" s="175"/>
      <c r="BI397" s="127"/>
      <c r="BJ397" s="176"/>
      <c r="BK397" s="184"/>
      <c r="BL397" s="130"/>
      <c r="BM397" s="185"/>
      <c r="BN397" s="69"/>
      <c r="BO397" s="85"/>
      <c r="BP397" s="85"/>
      <c r="BQ397" s="85"/>
      <c r="BR397" s="85"/>
      <c r="BS397" s="85"/>
      <c r="BT397" s="85"/>
      <c r="BU397" s="87"/>
      <c r="BV397" s="87"/>
      <c r="BW397" s="87"/>
      <c r="BX397" s="87"/>
      <c r="BY397" s="87"/>
      <c r="BZ397" s="87"/>
      <c r="CA397" s="90"/>
      <c r="CB397" s="90"/>
      <c r="CC397" s="90"/>
      <c r="CD397" s="90"/>
      <c r="CE397" s="90"/>
      <c r="CF397" s="90"/>
      <c r="CG397" s="85"/>
      <c r="CH397" s="85"/>
      <c r="CI397" s="85"/>
      <c r="CJ397" s="85"/>
      <c r="CK397" s="85"/>
      <c r="CL397" s="87"/>
      <c r="CM397" s="87"/>
      <c r="CN397" s="87"/>
      <c r="CO397" s="87"/>
      <c r="CP397" s="90"/>
      <c r="CQ397" s="90"/>
      <c r="CR397" s="90"/>
      <c r="CS397" s="90"/>
      <c r="CT397" s="85"/>
      <c r="CU397" s="85"/>
      <c r="CV397" s="85"/>
      <c r="CW397" s="85"/>
      <c r="CX397" s="85"/>
      <c r="CY397" s="85"/>
      <c r="CZ397" s="85"/>
      <c r="DA397" s="33">
        <f t="shared" si="5"/>
        <v>0</v>
      </c>
    </row>
    <row r="398" spans="36:105" ht="19" x14ac:dyDescent="0.25">
      <c r="AJ398" s="63"/>
      <c r="AK398" s="20"/>
      <c r="AL398" s="21"/>
      <c r="AM398" s="22"/>
      <c r="AN398" s="23"/>
      <c r="AO398" s="24"/>
      <c r="AP398" s="25"/>
      <c r="AQ398" s="26"/>
      <c r="AR398" s="27"/>
      <c r="AS398" s="192"/>
      <c r="AT398" s="111"/>
      <c r="AU398" s="193"/>
      <c r="AV398" s="140"/>
      <c r="AW398" s="118"/>
      <c r="AX398" s="141"/>
      <c r="AY398" s="149"/>
      <c r="AZ398" s="121"/>
      <c r="BA398" s="150"/>
      <c r="BB398" s="158"/>
      <c r="BC398" s="124"/>
      <c r="BD398" s="159"/>
      <c r="BE398" s="167"/>
      <c r="BF398" s="85"/>
      <c r="BG398" s="168"/>
      <c r="BH398" s="175"/>
      <c r="BI398" s="127"/>
      <c r="BJ398" s="176"/>
      <c r="BK398" s="184"/>
      <c r="BL398" s="130"/>
      <c r="BM398" s="185"/>
      <c r="BN398" s="69"/>
      <c r="BO398" s="85"/>
      <c r="BP398" s="85"/>
      <c r="BQ398" s="85"/>
      <c r="BR398" s="85"/>
      <c r="BS398" s="85"/>
      <c r="BT398" s="85"/>
      <c r="BU398" s="87"/>
      <c r="BV398" s="87"/>
      <c r="BW398" s="87"/>
      <c r="BX398" s="87"/>
      <c r="BY398" s="87"/>
      <c r="BZ398" s="87"/>
      <c r="CA398" s="90"/>
      <c r="CB398" s="90"/>
      <c r="CC398" s="90"/>
      <c r="CD398" s="90"/>
      <c r="CE398" s="90"/>
      <c r="CF398" s="90"/>
      <c r="CG398" s="85"/>
      <c r="CH398" s="85"/>
      <c r="CI398" s="85"/>
      <c r="CJ398" s="85"/>
      <c r="CK398" s="85"/>
      <c r="CL398" s="87"/>
      <c r="CM398" s="87"/>
      <c r="CN398" s="87"/>
      <c r="CO398" s="87"/>
      <c r="CP398" s="90"/>
      <c r="CQ398" s="90"/>
      <c r="CR398" s="90"/>
      <c r="CS398" s="90"/>
      <c r="CT398" s="85"/>
      <c r="CU398" s="85"/>
      <c r="CV398" s="85"/>
      <c r="CW398" s="85"/>
      <c r="CX398" s="85"/>
      <c r="CY398" s="85"/>
      <c r="CZ398" s="85"/>
      <c r="DA398" s="33">
        <f t="shared" si="5"/>
        <v>0</v>
      </c>
    </row>
    <row r="399" spans="36:105" ht="19" x14ac:dyDescent="0.25">
      <c r="AJ399" s="63"/>
      <c r="AK399" s="20"/>
      <c r="AL399" s="21"/>
      <c r="AM399" s="22"/>
      <c r="AN399" s="23"/>
      <c r="AO399" s="24"/>
      <c r="AP399" s="25"/>
      <c r="AQ399" s="26"/>
      <c r="AR399" s="27"/>
      <c r="AS399" s="192"/>
      <c r="AT399" s="111"/>
      <c r="AU399" s="193"/>
      <c r="AV399" s="140"/>
      <c r="AW399" s="118"/>
      <c r="AX399" s="141"/>
      <c r="AY399" s="149"/>
      <c r="AZ399" s="121"/>
      <c r="BA399" s="150"/>
      <c r="BB399" s="158"/>
      <c r="BC399" s="124"/>
      <c r="BD399" s="159"/>
      <c r="BE399" s="167"/>
      <c r="BF399" s="85"/>
      <c r="BG399" s="168"/>
      <c r="BH399" s="175"/>
      <c r="BI399" s="127"/>
      <c r="BJ399" s="176"/>
      <c r="BK399" s="184"/>
      <c r="BL399" s="130"/>
      <c r="BM399" s="185"/>
      <c r="BN399" s="69"/>
      <c r="BO399" s="85"/>
      <c r="BP399" s="85"/>
      <c r="BQ399" s="85"/>
      <c r="BR399" s="85"/>
      <c r="BS399" s="85"/>
      <c r="BT399" s="85"/>
      <c r="BU399" s="87"/>
      <c r="BV399" s="87"/>
      <c r="BW399" s="87"/>
      <c r="BX399" s="87"/>
      <c r="BY399" s="87"/>
      <c r="BZ399" s="87"/>
      <c r="CA399" s="90"/>
      <c r="CB399" s="90"/>
      <c r="CC399" s="90"/>
      <c r="CD399" s="90"/>
      <c r="CE399" s="90"/>
      <c r="CF399" s="90"/>
      <c r="CG399" s="85"/>
      <c r="CH399" s="85"/>
      <c r="CI399" s="85"/>
      <c r="CJ399" s="85"/>
      <c r="CK399" s="85"/>
      <c r="CL399" s="87"/>
      <c r="CM399" s="87"/>
      <c r="CN399" s="87"/>
      <c r="CO399" s="87"/>
      <c r="CP399" s="90"/>
      <c r="CQ399" s="90"/>
      <c r="CR399" s="90"/>
      <c r="CS399" s="90"/>
      <c r="CT399" s="85"/>
      <c r="CU399" s="85"/>
      <c r="CV399" s="85"/>
      <c r="CW399" s="85"/>
      <c r="CX399" s="85"/>
      <c r="CY399" s="85"/>
      <c r="CZ399" s="85"/>
      <c r="DA399" s="33">
        <f t="shared" si="5"/>
        <v>0</v>
      </c>
    </row>
    <row r="400" spans="36:105" ht="19" x14ac:dyDescent="0.25">
      <c r="AJ400" s="63"/>
      <c r="AK400" s="20"/>
      <c r="AL400" s="21"/>
      <c r="AM400" s="22"/>
      <c r="AN400" s="23"/>
      <c r="AO400" s="24"/>
      <c r="AP400" s="25"/>
      <c r="AQ400" s="26"/>
      <c r="AR400" s="27"/>
      <c r="AS400" s="192"/>
      <c r="AT400" s="111"/>
      <c r="AU400" s="193"/>
      <c r="AV400" s="140"/>
      <c r="AW400" s="118"/>
      <c r="AX400" s="141"/>
      <c r="AY400" s="149"/>
      <c r="AZ400" s="121"/>
      <c r="BA400" s="150"/>
      <c r="BB400" s="158"/>
      <c r="BC400" s="124"/>
      <c r="BD400" s="159"/>
      <c r="BE400" s="167"/>
      <c r="BF400" s="85"/>
      <c r="BG400" s="168"/>
      <c r="BH400" s="175"/>
      <c r="BI400" s="127"/>
      <c r="BJ400" s="176"/>
      <c r="BK400" s="184"/>
      <c r="BL400" s="130"/>
      <c r="BM400" s="185"/>
      <c r="BN400" s="69"/>
      <c r="BO400" s="85"/>
      <c r="BP400" s="85"/>
      <c r="BQ400" s="85"/>
      <c r="BR400" s="85"/>
      <c r="BS400" s="85"/>
      <c r="BT400" s="85"/>
      <c r="BU400" s="87"/>
      <c r="BV400" s="87"/>
      <c r="BW400" s="87"/>
      <c r="BX400" s="87"/>
      <c r="BY400" s="87"/>
      <c r="BZ400" s="87"/>
      <c r="CA400" s="90"/>
      <c r="CB400" s="90"/>
      <c r="CC400" s="90"/>
      <c r="CD400" s="90"/>
      <c r="CE400" s="90"/>
      <c r="CF400" s="90"/>
      <c r="CG400" s="85"/>
      <c r="CH400" s="85"/>
      <c r="CI400" s="85"/>
      <c r="CJ400" s="85"/>
      <c r="CK400" s="85"/>
      <c r="CL400" s="87"/>
      <c r="CM400" s="87"/>
      <c r="CN400" s="87"/>
      <c r="CO400" s="87"/>
      <c r="CP400" s="90"/>
      <c r="CQ400" s="90"/>
      <c r="CR400" s="90"/>
      <c r="CS400" s="90"/>
      <c r="CT400" s="85"/>
      <c r="CU400" s="85"/>
      <c r="CV400" s="85"/>
      <c r="CW400" s="85"/>
      <c r="CX400" s="85"/>
      <c r="CY400" s="85"/>
      <c r="CZ400" s="85"/>
      <c r="DA400" s="33">
        <f t="shared" si="5"/>
        <v>0</v>
      </c>
    </row>
    <row r="401" spans="36:105" ht="19" x14ac:dyDescent="0.25">
      <c r="AJ401" s="63"/>
      <c r="AK401" s="20"/>
      <c r="AL401" s="21"/>
      <c r="AM401" s="22"/>
      <c r="AN401" s="23"/>
      <c r="AO401" s="24"/>
      <c r="AP401" s="25"/>
      <c r="AQ401" s="26"/>
      <c r="AR401" s="27"/>
      <c r="AS401" s="192"/>
      <c r="AT401" s="111"/>
      <c r="AU401" s="193"/>
      <c r="AV401" s="140"/>
      <c r="AW401" s="118"/>
      <c r="AX401" s="141"/>
      <c r="AY401" s="149"/>
      <c r="AZ401" s="121"/>
      <c r="BA401" s="150"/>
      <c r="BB401" s="158"/>
      <c r="BC401" s="124"/>
      <c r="BD401" s="159"/>
      <c r="BE401" s="167"/>
      <c r="BF401" s="85"/>
      <c r="BG401" s="168"/>
      <c r="BH401" s="175"/>
      <c r="BI401" s="127"/>
      <c r="BJ401" s="176"/>
      <c r="BK401" s="184"/>
      <c r="BL401" s="130"/>
      <c r="BM401" s="185"/>
      <c r="BN401" s="69"/>
      <c r="BO401" s="85"/>
      <c r="BP401" s="85"/>
      <c r="BQ401" s="85"/>
      <c r="BR401" s="85"/>
      <c r="BS401" s="85"/>
      <c r="BT401" s="85"/>
      <c r="BU401" s="87"/>
      <c r="BV401" s="87"/>
      <c r="BW401" s="87"/>
      <c r="BX401" s="87"/>
      <c r="BY401" s="87"/>
      <c r="BZ401" s="87"/>
      <c r="CA401" s="90"/>
      <c r="CB401" s="90"/>
      <c r="CC401" s="90"/>
      <c r="CD401" s="90"/>
      <c r="CE401" s="90"/>
      <c r="CF401" s="90"/>
      <c r="CG401" s="85"/>
      <c r="CH401" s="85"/>
      <c r="CI401" s="85"/>
      <c r="CJ401" s="85"/>
      <c r="CK401" s="85"/>
      <c r="CL401" s="87"/>
      <c r="CM401" s="87"/>
      <c r="CN401" s="87"/>
      <c r="CO401" s="87"/>
      <c r="CP401" s="90"/>
      <c r="CQ401" s="90"/>
      <c r="CR401" s="90"/>
      <c r="CS401" s="90"/>
      <c r="CT401" s="85"/>
      <c r="CU401" s="85"/>
      <c r="CV401" s="85"/>
      <c r="CW401" s="85"/>
      <c r="CX401" s="85"/>
      <c r="CY401" s="85"/>
      <c r="CZ401" s="85"/>
      <c r="DA401" s="33">
        <f t="shared" si="5"/>
        <v>0</v>
      </c>
    </row>
    <row r="402" spans="36:105" ht="19" x14ac:dyDescent="0.25">
      <c r="AJ402" s="63"/>
      <c r="AK402" s="20"/>
      <c r="AL402" s="21"/>
      <c r="AM402" s="22"/>
      <c r="AN402" s="23"/>
      <c r="AO402" s="24"/>
      <c r="AP402" s="25"/>
      <c r="AQ402" s="26"/>
      <c r="AR402" s="27"/>
      <c r="AS402" s="192"/>
      <c r="AT402" s="111"/>
      <c r="AU402" s="193"/>
      <c r="AV402" s="140"/>
      <c r="AW402" s="118"/>
      <c r="AX402" s="141"/>
      <c r="AY402" s="149"/>
      <c r="AZ402" s="121"/>
      <c r="BA402" s="150"/>
      <c r="BB402" s="158"/>
      <c r="BC402" s="124"/>
      <c r="BD402" s="159"/>
      <c r="BE402" s="167"/>
      <c r="BF402" s="85"/>
      <c r="BG402" s="168"/>
      <c r="BH402" s="175"/>
      <c r="BI402" s="127"/>
      <c r="BJ402" s="176"/>
      <c r="BK402" s="184"/>
      <c r="BL402" s="130"/>
      <c r="BM402" s="185"/>
      <c r="BN402" s="69"/>
      <c r="BO402" s="85"/>
      <c r="BP402" s="85"/>
      <c r="BQ402" s="85"/>
      <c r="BR402" s="85"/>
      <c r="BS402" s="85"/>
      <c r="BT402" s="85"/>
      <c r="BU402" s="87"/>
      <c r="BV402" s="87"/>
      <c r="BW402" s="87"/>
      <c r="BX402" s="87"/>
      <c r="BY402" s="87"/>
      <c r="BZ402" s="87"/>
      <c r="CA402" s="90"/>
      <c r="CB402" s="90"/>
      <c r="CC402" s="90"/>
      <c r="CD402" s="90"/>
      <c r="CE402" s="90"/>
      <c r="CF402" s="90"/>
      <c r="CG402" s="85"/>
      <c r="CH402" s="85"/>
      <c r="CI402" s="85"/>
      <c r="CJ402" s="85"/>
      <c r="CK402" s="85"/>
      <c r="CL402" s="87"/>
      <c r="CM402" s="87"/>
      <c r="CN402" s="87"/>
      <c r="CO402" s="87"/>
      <c r="CP402" s="90"/>
      <c r="CQ402" s="90"/>
      <c r="CR402" s="90"/>
      <c r="CS402" s="90"/>
      <c r="CT402" s="85"/>
      <c r="CU402" s="85"/>
      <c r="CV402" s="85"/>
      <c r="CW402" s="85"/>
      <c r="CX402" s="85"/>
      <c r="CY402" s="85"/>
      <c r="CZ402" s="85"/>
      <c r="DA402" s="33">
        <f t="shared" si="5"/>
        <v>0</v>
      </c>
    </row>
    <row r="403" spans="36:105" ht="19" x14ac:dyDescent="0.25">
      <c r="AJ403" s="63"/>
      <c r="AK403" s="20"/>
      <c r="AL403" s="21"/>
      <c r="AM403" s="22"/>
      <c r="AN403" s="23"/>
      <c r="AO403" s="24"/>
      <c r="AP403" s="25"/>
      <c r="AQ403" s="26"/>
      <c r="AR403" s="27"/>
      <c r="AS403" s="192"/>
      <c r="AT403" s="111"/>
      <c r="AU403" s="193"/>
      <c r="AV403" s="140"/>
      <c r="AW403" s="118"/>
      <c r="AX403" s="141"/>
      <c r="AY403" s="149"/>
      <c r="AZ403" s="121"/>
      <c r="BA403" s="150"/>
      <c r="BB403" s="158"/>
      <c r="BC403" s="124"/>
      <c r="BD403" s="159"/>
      <c r="BE403" s="167"/>
      <c r="BF403" s="85"/>
      <c r="BG403" s="168"/>
      <c r="BH403" s="175"/>
      <c r="BI403" s="127"/>
      <c r="BJ403" s="176"/>
      <c r="BK403" s="184"/>
      <c r="BL403" s="130"/>
      <c r="BM403" s="185"/>
      <c r="BN403" s="69"/>
      <c r="BO403" s="85"/>
      <c r="BP403" s="85"/>
      <c r="BQ403" s="85"/>
      <c r="BR403" s="85"/>
      <c r="BS403" s="85"/>
      <c r="BT403" s="85"/>
      <c r="BU403" s="87"/>
      <c r="BV403" s="87"/>
      <c r="BW403" s="87"/>
      <c r="BX403" s="87"/>
      <c r="BY403" s="87"/>
      <c r="BZ403" s="87"/>
      <c r="CA403" s="90"/>
      <c r="CB403" s="90"/>
      <c r="CC403" s="90"/>
      <c r="CD403" s="90"/>
      <c r="CE403" s="90"/>
      <c r="CF403" s="90"/>
      <c r="CG403" s="85"/>
      <c r="CH403" s="85"/>
      <c r="CI403" s="85"/>
      <c r="CJ403" s="85"/>
      <c r="CK403" s="85"/>
      <c r="CL403" s="87"/>
      <c r="CM403" s="87"/>
      <c r="CN403" s="87"/>
      <c r="CO403" s="87"/>
      <c r="CP403" s="90"/>
      <c r="CQ403" s="90"/>
      <c r="CR403" s="90"/>
      <c r="CS403" s="90"/>
      <c r="CT403" s="85"/>
      <c r="CU403" s="85"/>
      <c r="CV403" s="85"/>
      <c r="CW403" s="85"/>
      <c r="CX403" s="85"/>
      <c r="CY403" s="85"/>
      <c r="CZ403" s="85"/>
      <c r="DA403" s="33">
        <f t="shared" si="5"/>
        <v>0</v>
      </c>
    </row>
    <row r="404" spans="36:105" ht="19" x14ac:dyDescent="0.25">
      <c r="AJ404" s="63"/>
      <c r="AK404" s="20"/>
      <c r="AL404" s="21"/>
      <c r="AM404" s="22"/>
      <c r="AN404" s="23"/>
      <c r="AO404" s="24"/>
      <c r="AP404" s="25"/>
      <c r="AQ404" s="26"/>
      <c r="AR404" s="27"/>
      <c r="AS404" s="192"/>
      <c r="AT404" s="111"/>
      <c r="AU404" s="193"/>
      <c r="AV404" s="140"/>
      <c r="AW404" s="118"/>
      <c r="AX404" s="141"/>
      <c r="AY404" s="149"/>
      <c r="AZ404" s="121"/>
      <c r="BA404" s="150"/>
      <c r="BB404" s="158"/>
      <c r="BC404" s="124"/>
      <c r="BD404" s="159"/>
      <c r="BE404" s="167"/>
      <c r="BF404" s="85"/>
      <c r="BG404" s="168"/>
      <c r="BH404" s="175"/>
      <c r="BI404" s="127"/>
      <c r="BJ404" s="176"/>
      <c r="BK404" s="184"/>
      <c r="BL404" s="130"/>
      <c r="BM404" s="185"/>
      <c r="BN404" s="69"/>
      <c r="BO404" s="85"/>
      <c r="BP404" s="85"/>
      <c r="BQ404" s="85"/>
      <c r="BR404" s="85"/>
      <c r="BS404" s="85"/>
      <c r="BT404" s="85"/>
      <c r="BU404" s="87"/>
      <c r="BV404" s="87"/>
      <c r="BW404" s="87"/>
      <c r="BX404" s="87"/>
      <c r="BY404" s="87"/>
      <c r="BZ404" s="87"/>
      <c r="CA404" s="90"/>
      <c r="CB404" s="90"/>
      <c r="CC404" s="90"/>
      <c r="CD404" s="90"/>
      <c r="CE404" s="90"/>
      <c r="CF404" s="90"/>
      <c r="CG404" s="85"/>
      <c r="CH404" s="85"/>
      <c r="CI404" s="85"/>
      <c r="CJ404" s="85"/>
      <c r="CK404" s="85"/>
      <c r="CL404" s="87"/>
      <c r="CM404" s="87"/>
      <c r="CN404" s="87"/>
      <c r="CO404" s="87"/>
      <c r="CP404" s="90"/>
      <c r="CQ404" s="90"/>
      <c r="CR404" s="90"/>
      <c r="CS404" s="90"/>
      <c r="CT404" s="85"/>
      <c r="CU404" s="85"/>
      <c r="CV404" s="85"/>
      <c r="CW404" s="85"/>
      <c r="CX404" s="85"/>
      <c r="CY404" s="85"/>
      <c r="CZ404" s="85"/>
      <c r="DA404" s="33">
        <f t="shared" si="5"/>
        <v>0</v>
      </c>
    </row>
    <row r="405" spans="36:105" ht="19" x14ac:dyDescent="0.25">
      <c r="AJ405" s="63"/>
      <c r="AK405" s="20"/>
      <c r="AL405" s="21"/>
      <c r="AM405" s="22"/>
      <c r="AN405" s="23"/>
      <c r="AO405" s="24"/>
      <c r="AP405" s="25"/>
      <c r="AQ405" s="26"/>
      <c r="AR405" s="27"/>
      <c r="AS405" s="192"/>
      <c r="AT405" s="111"/>
      <c r="AU405" s="193"/>
      <c r="AV405" s="140"/>
      <c r="AW405" s="118"/>
      <c r="AX405" s="141"/>
      <c r="AY405" s="149"/>
      <c r="AZ405" s="121"/>
      <c r="BA405" s="150"/>
      <c r="BB405" s="158"/>
      <c r="BC405" s="124"/>
      <c r="BD405" s="159"/>
      <c r="BE405" s="167"/>
      <c r="BF405" s="85"/>
      <c r="BG405" s="168"/>
      <c r="BH405" s="175"/>
      <c r="BI405" s="127"/>
      <c r="BJ405" s="176"/>
      <c r="BK405" s="184"/>
      <c r="BL405" s="130"/>
      <c r="BM405" s="185"/>
      <c r="BN405" s="69"/>
      <c r="BO405" s="85"/>
      <c r="BP405" s="85"/>
      <c r="BQ405" s="85"/>
      <c r="BR405" s="85"/>
      <c r="BS405" s="85"/>
      <c r="BT405" s="85"/>
      <c r="BU405" s="87"/>
      <c r="BV405" s="87"/>
      <c r="BW405" s="87"/>
      <c r="BX405" s="87"/>
      <c r="BY405" s="87"/>
      <c r="BZ405" s="87"/>
      <c r="CA405" s="90"/>
      <c r="CB405" s="90"/>
      <c r="CC405" s="90"/>
      <c r="CD405" s="90"/>
      <c r="CE405" s="90"/>
      <c r="CF405" s="90"/>
      <c r="CG405" s="85"/>
      <c r="CH405" s="85"/>
      <c r="CI405" s="85"/>
      <c r="CJ405" s="85"/>
      <c r="CK405" s="85"/>
      <c r="CL405" s="87"/>
      <c r="CM405" s="87"/>
      <c r="CN405" s="87"/>
      <c r="CO405" s="87"/>
      <c r="CP405" s="90"/>
      <c r="CQ405" s="90"/>
      <c r="CR405" s="90"/>
      <c r="CS405" s="90"/>
      <c r="CT405" s="85"/>
      <c r="CU405" s="85"/>
      <c r="CV405" s="85"/>
      <c r="CW405" s="85"/>
      <c r="CX405" s="85"/>
      <c r="CY405" s="85"/>
      <c r="CZ405" s="85"/>
      <c r="DA405" s="33">
        <f t="shared" si="5"/>
        <v>0</v>
      </c>
    </row>
    <row r="406" spans="36:105" ht="19" x14ac:dyDescent="0.25">
      <c r="AJ406" s="63"/>
      <c r="AK406" s="20"/>
      <c r="AL406" s="21"/>
      <c r="AM406" s="22"/>
      <c r="AN406" s="23"/>
      <c r="AO406" s="24"/>
      <c r="AP406" s="25"/>
      <c r="AQ406" s="26"/>
      <c r="AR406" s="27"/>
      <c r="AS406" s="192"/>
      <c r="AT406" s="111"/>
      <c r="AU406" s="193"/>
      <c r="AV406" s="140"/>
      <c r="AW406" s="118"/>
      <c r="AX406" s="141"/>
      <c r="AY406" s="149"/>
      <c r="AZ406" s="121"/>
      <c r="BA406" s="150"/>
      <c r="BB406" s="158"/>
      <c r="BC406" s="124"/>
      <c r="BD406" s="159"/>
      <c r="BE406" s="167"/>
      <c r="BF406" s="85"/>
      <c r="BG406" s="168"/>
      <c r="BH406" s="175"/>
      <c r="BI406" s="127"/>
      <c r="BJ406" s="176"/>
      <c r="BK406" s="184"/>
      <c r="BL406" s="130"/>
      <c r="BM406" s="185"/>
      <c r="BN406" s="69"/>
      <c r="BO406" s="85"/>
      <c r="BP406" s="85"/>
      <c r="BQ406" s="85"/>
      <c r="BR406" s="85"/>
      <c r="BS406" s="85"/>
      <c r="BT406" s="85"/>
      <c r="BU406" s="87"/>
      <c r="BV406" s="87"/>
      <c r="BW406" s="87"/>
      <c r="BX406" s="87"/>
      <c r="BY406" s="87"/>
      <c r="BZ406" s="87"/>
      <c r="CA406" s="90"/>
      <c r="CB406" s="90"/>
      <c r="CC406" s="90"/>
      <c r="CD406" s="90"/>
      <c r="CE406" s="90"/>
      <c r="CF406" s="90"/>
      <c r="CG406" s="85"/>
      <c r="CH406" s="85"/>
      <c r="CI406" s="85"/>
      <c r="CJ406" s="85"/>
      <c r="CK406" s="85"/>
      <c r="CL406" s="87"/>
      <c r="CM406" s="87"/>
      <c r="CN406" s="87"/>
      <c r="CO406" s="87"/>
      <c r="CP406" s="90"/>
      <c r="CQ406" s="90"/>
      <c r="CR406" s="90"/>
      <c r="CS406" s="90"/>
      <c r="CT406" s="85"/>
      <c r="CU406" s="85"/>
      <c r="CV406" s="85"/>
      <c r="CW406" s="85"/>
      <c r="CX406" s="85"/>
      <c r="CY406" s="85"/>
      <c r="CZ406" s="85"/>
      <c r="DA406" s="33">
        <f t="shared" si="5"/>
        <v>0</v>
      </c>
    </row>
    <row r="407" spans="36:105" ht="19" x14ac:dyDescent="0.25">
      <c r="AJ407" s="63"/>
      <c r="AK407" s="20"/>
      <c r="AL407" s="21"/>
      <c r="AM407" s="22"/>
      <c r="AN407" s="23"/>
      <c r="AO407" s="24"/>
      <c r="AP407" s="25"/>
      <c r="AQ407" s="26"/>
      <c r="AR407" s="27"/>
      <c r="AS407" s="192"/>
      <c r="AT407" s="111"/>
      <c r="AU407" s="193"/>
      <c r="AV407" s="140"/>
      <c r="AW407" s="118"/>
      <c r="AX407" s="141"/>
      <c r="AY407" s="149"/>
      <c r="AZ407" s="121"/>
      <c r="BA407" s="150"/>
      <c r="BB407" s="158"/>
      <c r="BC407" s="124"/>
      <c r="BD407" s="159"/>
      <c r="BE407" s="167"/>
      <c r="BF407" s="85"/>
      <c r="BG407" s="168"/>
      <c r="BH407" s="175"/>
      <c r="BI407" s="127"/>
      <c r="BJ407" s="176"/>
      <c r="BK407" s="184"/>
      <c r="BL407" s="130"/>
      <c r="BM407" s="185"/>
      <c r="BN407" s="69"/>
      <c r="BO407" s="85"/>
      <c r="BP407" s="85"/>
      <c r="BQ407" s="85"/>
      <c r="BR407" s="85"/>
      <c r="BS407" s="85"/>
      <c r="BT407" s="85"/>
      <c r="BU407" s="87"/>
      <c r="BV407" s="87"/>
      <c r="BW407" s="87"/>
      <c r="BX407" s="87"/>
      <c r="BY407" s="87"/>
      <c r="BZ407" s="87"/>
      <c r="CA407" s="90"/>
      <c r="CB407" s="90"/>
      <c r="CC407" s="90"/>
      <c r="CD407" s="90"/>
      <c r="CE407" s="90"/>
      <c r="CF407" s="90"/>
      <c r="CG407" s="85"/>
      <c r="CH407" s="85"/>
      <c r="CI407" s="85"/>
      <c r="CJ407" s="85"/>
      <c r="CK407" s="85"/>
      <c r="CL407" s="87"/>
      <c r="CM407" s="87"/>
      <c r="CN407" s="87"/>
      <c r="CO407" s="87"/>
      <c r="CP407" s="90"/>
      <c r="CQ407" s="90"/>
      <c r="CR407" s="90"/>
      <c r="CS407" s="90"/>
      <c r="CT407" s="85"/>
      <c r="CU407" s="85"/>
      <c r="CV407" s="85"/>
      <c r="CW407" s="85"/>
      <c r="CX407" s="85"/>
      <c r="CY407" s="85"/>
      <c r="CZ407" s="85"/>
      <c r="DA407" s="33">
        <f t="shared" si="5"/>
        <v>0</v>
      </c>
    </row>
    <row r="408" spans="36:105" ht="19" x14ac:dyDescent="0.25">
      <c r="AJ408" s="63"/>
      <c r="AK408" s="20"/>
      <c r="AL408" s="21"/>
      <c r="AM408" s="22"/>
      <c r="AN408" s="23"/>
      <c r="AO408" s="24"/>
      <c r="AP408" s="25"/>
      <c r="AQ408" s="26"/>
      <c r="AR408" s="27"/>
      <c r="AS408" s="192"/>
      <c r="AT408" s="111"/>
      <c r="AU408" s="193"/>
      <c r="AV408" s="140"/>
      <c r="AW408" s="118"/>
      <c r="AX408" s="141"/>
      <c r="AY408" s="149"/>
      <c r="AZ408" s="121"/>
      <c r="BA408" s="150"/>
      <c r="BB408" s="158"/>
      <c r="BC408" s="124"/>
      <c r="BD408" s="159"/>
      <c r="BE408" s="167"/>
      <c r="BF408" s="85"/>
      <c r="BG408" s="168"/>
      <c r="BH408" s="175"/>
      <c r="BI408" s="127"/>
      <c r="BJ408" s="176"/>
      <c r="BK408" s="184"/>
      <c r="BL408" s="130"/>
      <c r="BM408" s="185"/>
      <c r="BN408" s="69"/>
      <c r="BO408" s="85"/>
      <c r="BP408" s="85"/>
      <c r="BQ408" s="85"/>
      <c r="BR408" s="85"/>
      <c r="BS408" s="85"/>
      <c r="BT408" s="85"/>
      <c r="BU408" s="87"/>
      <c r="BV408" s="87"/>
      <c r="BW408" s="87"/>
      <c r="BX408" s="87"/>
      <c r="BY408" s="87"/>
      <c r="BZ408" s="87"/>
      <c r="CA408" s="90"/>
      <c r="CB408" s="90"/>
      <c r="CC408" s="90"/>
      <c r="CD408" s="90"/>
      <c r="CE408" s="90"/>
      <c r="CF408" s="90"/>
      <c r="CG408" s="85"/>
      <c r="CH408" s="85"/>
      <c r="CI408" s="85"/>
      <c r="CJ408" s="85"/>
      <c r="CK408" s="85"/>
      <c r="CL408" s="87"/>
      <c r="CM408" s="87"/>
      <c r="CN408" s="87"/>
      <c r="CO408" s="87"/>
      <c r="CP408" s="90"/>
      <c r="CQ408" s="90"/>
      <c r="CR408" s="90"/>
      <c r="CS408" s="90"/>
      <c r="CT408" s="85"/>
      <c r="CU408" s="85"/>
      <c r="CV408" s="85"/>
      <c r="CW408" s="85"/>
      <c r="CX408" s="85"/>
      <c r="CY408" s="85"/>
      <c r="CZ408" s="85"/>
      <c r="DA408" s="33">
        <f t="shared" si="5"/>
        <v>0</v>
      </c>
    </row>
    <row r="409" spans="36:105" ht="19" x14ac:dyDescent="0.25">
      <c r="AJ409" s="63"/>
      <c r="AK409" s="20"/>
      <c r="AL409" s="21"/>
      <c r="AM409" s="22"/>
      <c r="AN409" s="23"/>
      <c r="AO409" s="24"/>
      <c r="AP409" s="25"/>
      <c r="AQ409" s="26"/>
      <c r="AR409" s="27"/>
      <c r="AS409" s="192"/>
      <c r="AT409" s="111"/>
      <c r="AU409" s="193"/>
      <c r="AV409" s="140"/>
      <c r="AW409" s="118"/>
      <c r="AX409" s="141"/>
      <c r="AY409" s="149"/>
      <c r="AZ409" s="121"/>
      <c r="BA409" s="150"/>
      <c r="BB409" s="158"/>
      <c r="BC409" s="124"/>
      <c r="BD409" s="159"/>
      <c r="BE409" s="167"/>
      <c r="BF409" s="85"/>
      <c r="BG409" s="168"/>
      <c r="BH409" s="175"/>
      <c r="BI409" s="127"/>
      <c r="BJ409" s="176"/>
      <c r="BK409" s="184"/>
      <c r="BL409" s="130"/>
      <c r="BM409" s="185"/>
      <c r="BN409" s="69"/>
      <c r="BO409" s="85"/>
      <c r="BP409" s="85"/>
      <c r="BQ409" s="85"/>
      <c r="BR409" s="85"/>
      <c r="BS409" s="85"/>
      <c r="BT409" s="85"/>
      <c r="BU409" s="87"/>
      <c r="BV409" s="87"/>
      <c r="BW409" s="87"/>
      <c r="BX409" s="87"/>
      <c r="BY409" s="87"/>
      <c r="BZ409" s="87"/>
      <c r="CA409" s="90"/>
      <c r="CB409" s="90"/>
      <c r="CC409" s="90"/>
      <c r="CD409" s="90"/>
      <c r="CE409" s="90"/>
      <c r="CF409" s="90"/>
      <c r="CG409" s="85"/>
      <c r="CH409" s="85"/>
      <c r="CI409" s="85"/>
      <c r="CJ409" s="85"/>
      <c r="CK409" s="85"/>
      <c r="CL409" s="87"/>
      <c r="CM409" s="87"/>
      <c r="CN409" s="87"/>
      <c r="CO409" s="87"/>
      <c r="CP409" s="90"/>
      <c r="CQ409" s="90"/>
      <c r="CR409" s="90"/>
      <c r="CS409" s="90"/>
      <c r="CT409" s="85"/>
      <c r="CU409" s="85"/>
      <c r="CV409" s="85"/>
      <c r="CW409" s="85"/>
      <c r="CX409" s="85"/>
      <c r="CY409" s="85"/>
      <c r="CZ409" s="85"/>
      <c r="DA409" s="33">
        <f t="shared" si="5"/>
        <v>0</v>
      </c>
    </row>
    <row r="410" spans="36:105" ht="19" x14ac:dyDescent="0.25">
      <c r="AJ410" s="63"/>
      <c r="AK410" s="20"/>
      <c r="AL410" s="21"/>
      <c r="AM410" s="22"/>
      <c r="AN410" s="23"/>
      <c r="AO410" s="24"/>
      <c r="AP410" s="25"/>
      <c r="AQ410" s="26"/>
      <c r="AR410" s="27"/>
      <c r="AS410" s="192"/>
      <c r="AT410" s="111"/>
      <c r="AU410" s="193"/>
      <c r="AV410" s="140"/>
      <c r="AW410" s="118"/>
      <c r="AX410" s="141"/>
      <c r="AY410" s="149"/>
      <c r="AZ410" s="121"/>
      <c r="BA410" s="150"/>
      <c r="BB410" s="158"/>
      <c r="BC410" s="124"/>
      <c r="BD410" s="159"/>
      <c r="BE410" s="167"/>
      <c r="BF410" s="85"/>
      <c r="BG410" s="168"/>
      <c r="BH410" s="175"/>
      <c r="BI410" s="127"/>
      <c r="BJ410" s="176"/>
      <c r="BK410" s="184"/>
      <c r="BL410" s="130"/>
      <c r="BM410" s="185"/>
      <c r="BN410" s="69"/>
      <c r="BO410" s="85"/>
      <c r="BP410" s="85"/>
      <c r="BQ410" s="85"/>
      <c r="BR410" s="85"/>
      <c r="BS410" s="85"/>
      <c r="BT410" s="85"/>
      <c r="BU410" s="87"/>
      <c r="BV410" s="87"/>
      <c r="BW410" s="87"/>
      <c r="BX410" s="87"/>
      <c r="BY410" s="87"/>
      <c r="BZ410" s="87"/>
      <c r="CA410" s="90"/>
      <c r="CB410" s="90"/>
      <c r="CC410" s="90"/>
      <c r="CD410" s="90"/>
      <c r="CE410" s="90"/>
      <c r="CF410" s="90"/>
      <c r="CG410" s="85"/>
      <c r="CH410" s="85"/>
      <c r="CI410" s="85"/>
      <c r="CJ410" s="85"/>
      <c r="CK410" s="85"/>
      <c r="CL410" s="87"/>
      <c r="CM410" s="87"/>
      <c r="CN410" s="87"/>
      <c r="CO410" s="87"/>
      <c r="CP410" s="90"/>
      <c r="CQ410" s="90"/>
      <c r="CR410" s="90"/>
      <c r="CS410" s="90"/>
      <c r="CT410" s="85"/>
      <c r="CU410" s="85"/>
      <c r="CV410" s="85"/>
      <c r="CW410" s="85"/>
      <c r="CX410" s="85"/>
      <c r="CY410" s="85"/>
      <c r="CZ410" s="85"/>
      <c r="DA410" s="33">
        <f t="shared" si="5"/>
        <v>0</v>
      </c>
    </row>
    <row r="411" spans="36:105" ht="19" x14ac:dyDescent="0.25">
      <c r="AJ411" s="63"/>
      <c r="AK411" s="20"/>
      <c r="AL411" s="21"/>
      <c r="AM411" s="22"/>
      <c r="AN411" s="23"/>
      <c r="AO411" s="24"/>
      <c r="AP411" s="25"/>
      <c r="AQ411" s="26"/>
      <c r="AR411" s="27"/>
      <c r="AS411" s="192"/>
      <c r="AT411" s="111"/>
      <c r="AU411" s="193"/>
      <c r="AV411" s="140"/>
      <c r="AW411" s="118"/>
      <c r="AX411" s="141"/>
      <c r="AY411" s="149"/>
      <c r="AZ411" s="121"/>
      <c r="BA411" s="150"/>
      <c r="BB411" s="158"/>
      <c r="BC411" s="124"/>
      <c r="BD411" s="159"/>
      <c r="BE411" s="167"/>
      <c r="BF411" s="85"/>
      <c r="BG411" s="168"/>
      <c r="BH411" s="175"/>
      <c r="BI411" s="127"/>
      <c r="BJ411" s="176"/>
      <c r="BK411" s="184"/>
      <c r="BL411" s="130"/>
      <c r="BM411" s="185"/>
      <c r="BN411" s="69"/>
      <c r="BO411" s="85"/>
      <c r="BP411" s="85"/>
      <c r="BQ411" s="85"/>
      <c r="BR411" s="85"/>
      <c r="BS411" s="85"/>
      <c r="BT411" s="85"/>
      <c r="BU411" s="87"/>
      <c r="BV411" s="87"/>
      <c r="BW411" s="87"/>
      <c r="BX411" s="87"/>
      <c r="BY411" s="87"/>
      <c r="BZ411" s="87"/>
      <c r="CA411" s="90"/>
      <c r="CB411" s="90"/>
      <c r="CC411" s="90"/>
      <c r="CD411" s="90"/>
      <c r="CE411" s="90"/>
      <c r="CF411" s="90"/>
      <c r="CG411" s="85"/>
      <c r="CH411" s="85"/>
      <c r="CI411" s="85"/>
      <c r="CJ411" s="85"/>
      <c r="CK411" s="85"/>
      <c r="CL411" s="87"/>
      <c r="CM411" s="87"/>
      <c r="CN411" s="87"/>
      <c r="CO411" s="87"/>
      <c r="CP411" s="90"/>
      <c r="CQ411" s="90"/>
      <c r="CR411" s="90"/>
      <c r="CS411" s="90"/>
      <c r="CT411" s="85"/>
      <c r="CU411" s="85"/>
      <c r="CV411" s="85"/>
      <c r="CW411" s="85"/>
      <c r="CX411" s="85"/>
      <c r="CY411" s="85"/>
      <c r="CZ411" s="85"/>
      <c r="DA411" s="33">
        <f t="shared" si="5"/>
        <v>0</v>
      </c>
    </row>
    <row r="412" spans="36:105" ht="19" x14ac:dyDescent="0.25">
      <c r="AJ412" s="63"/>
      <c r="AK412" s="20"/>
      <c r="AL412" s="21"/>
      <c r="AM412" s="22"/>
      <c r="AN412" s="23"/>
      <c r="AO412" s="24"/>
      <c r="AP412" s="25"/>
      <c r="AQ412" s="26"/>
      <c r="AR412" s="27"/>
      <c r="AS412" s="192"/>
      <c r="AT412" s="111"/>
      <c r="AU412" s="193"/>
      <c r="AV412" s="140"/>
      <c r="AW412" s="118"/>
      <c r="AX412" s="141"/>
      <c r="AY412" s="149"/>
      <c r="AZ412" s="121"/>
      <c r="BA412" s="150"/>
      <c r="BB412" s="158"/>
      <c r="BC412" s="124"/>
      <c r="BD412" s="159"/>
      <c r="BE412" s="167"/>
      <c r="BF412" s="85"/>
      <c r="BG412" s="168"/>
      <c r="BH412" s="175"/>
      <c r="BI412" s="127"/>
      <c r="BJ412" s="176"/>
      <c r="BK412" s="184"/>
      <c r="BL412" s="130"/>
      <c r="BM412" s="185"/>
      <c r="BN412" s="69"/>
      <c r="BO412" s="85"/>
      <c r="BP412" s="85"/>
      <c r="BQ412" s="85"/>
      <c r="BR412" s="85"/>
      <c r="BS412" s="85"/>
      <c r="BT412" s="85"/>
      <c r="BU412" s="87"/>
      <c r="BV412" s="87"/>
      <c r="BW412" s="87"/>
      <c r="BX412" s="87"/>
      <c r="BY412" s="87"/>
      <c r="BZ412" s="87"/>
      <c r="CA412" s="90"/>
      <c r="CB412" s="90"/>
      <c r="CC412" s="90"/>
      <c r="CD412" s="90"/>
      <c r="CE412" s="90"/>
      <c r="CF412" s="90"/>
      <c r="CG412" s="85"/>
      <c r="CH412" s="85"/>
      <c r="CI412" s="85"/>
      <c r="CJ412" s="85"/>
      <c r="CK412" s="85"/>
      <c r="CL412" s="87"/>
      <c r="CM412" s="87"/>
      <c r="CN412" s="87"/>
      <c r="CO412" s="87"/>
      <c r="CP412" s="90"/>
      <c r="CQ412" s="90"/>
      <c r="CR412" s="90"/>
      <c r="CS412" s="90"/>
      <c r="CT412" s="85"/>
      <c r="CU412" s="85"/>
      <c r="CV412" s="85"/>
      <c r="CW412" s="85"/>
      <c r="CX412" s="85"/>
      <c r="CY412" s="85"/>
      <c r="CZ412" s="85"/>
      <c r="DA412" s="33">
        <f t="shared" si="5"/>
        <v>0</v>
      </c>
    </row>
    <row r="413" spans="36:105" ht="19" x14ac:dyDescent="0.25">
      <c r="AJ413" s="63"/>
      <c r="AK413" s="20"/>
      <c r="AL413" s="21"/>
      <c r="AM413" s="22"/>
      <c r="AN413" s="23"/>
      <c r="AO413" s="24"/>
      <c r="AP413" s="25"/>
      <c r="AQ413" s="26"/>
      <c r="AR413" s="27"/>
      <c r="AS413" s="192"/>
      <c r="AT413" s="111"/>
      <c r="AU413" s="193"/>
      <c r="AV413" s="140"/>
      <c r="AW413" s="118"/>
      <c r="AX413" s="141"/>
      <c r="AY413" s="149"/>
      <c r="AZ413" s="121"/>
      <c r="BA413" s="150"/>
      <c r="BB413" s="158"/>
      <c r="BC413" s="124"/>
      <c r="BD413" s="159"/>
      <c r="BE413" s="167"/>
      <c r="BF413" s="85"/>
      <c r="BG413" s="168"/>
      <c r="BH413" s="175"/>
      <c r="BI413" s="127"/>
      <c r="BJ413" s="176"/>
      <c r="BK413" s="184"/>
      <c r="BL413" s="130"/>
      <c r="BM413" s="185"/>
      <c r="BN413" s="69"/>
      <c r="BO413" s="85"/>
      <c r="BP413" s="85"/>
      <c r="BQ413" s="85"/>
      <c r="BR413" s="85"/>
      <c r="BS413" s="85"/>
      <c r="BT413" s="85"/>
      <c r="BU413" s="87"/>
      <c r="BV413" s="87"/>
      <c r="BW413" s="87"/>
      <c r="BX413" s="87"/>
      <c r="BY413" s="87"/>
      <c r="BZ413" s="87"/>
      <c r="CA413" s="90"/>
      <c r="CB413" s="90"/>
      <c r="CC413" s="90"/>
      <c r="CD413" s="90"/>
      <c r="CE413" s="90"/>
      <c r="CF413" s="90"/>
      <c r="CG413" s="85"/>
      <c r="CH413" s="85"/>
      <c r="CI413" s="85"/>
      <c r="CJ413" s="85"/>
      <c r="CK413" s="85"/>
      <c r="CL413" s="87"/>
      <c r="CM413" s="87"/>
      <c r="CN413" s="87"/>
      <c r="CO413" s="87"/>
      <c r="CP413" s="90"/>
      <c r="CQ413" s="90"/>
      <c r="CR413" s="90"/>
      <c r="CS413" s="90"/>
      <c r="CT413" s="85"/>
      <c r="CU413" s="85"/>
      <c r="CV413" s="85"/>
      <c r="CW413" s="85"/>
      <c r="CX413" s="85"/>
      <c r="CY413" s="85"/>
      <c r="CZ413" s="85"/>
      <c r="DA413" s="33">
        <f t="shared" si="5"/>
        <v>0</v>
      </c>
    </row>
    <row r="414" spans="36:105" ht="19" x14ac:dyDescent="0.25">
      <c r="AJ414" s="63"/>
      <c r="AK414" s="20"/>
      <c r="AL414" s="21"/>
      <c r="AM414" s="22"/>
      <c r="AN414" s="23"/>
      <c r="AO414" s="24"/>
      <c r="AP414" s="25"/>
      <c r="AQ414" s="26"/>
      <c r="AR414" s="27"/>
      <c r="AS414" s="192"/>
      <c r="AT414" s="111"/>
      <c r="AU414" s="193"/>
      <c r="AV414" s="140"/>
      <c r="AW414" s="118"/>
      <c r="AX414" s="141"/>
      <c r="AY414" s="149"/>
      <c r="AZ414" s="121"/>
      <c r="BA414" s="150"/>
      <c r="BB414" s="158"/>
      <c r="BC414" s="124"/>
      <c r="BD414" s="159"/>
      <c r="BE414" s="167"/>
      <c r="BF414" s="85"/>
      <c r="BG414" s="168"/>
      <c r="BH414" s="175"/>
      <c r="BI414" s="127"/>
      <c r="BJ414" s="176"/>
      <c r="BK414" s="184"/>
      <c r="BL414" s="130"/>
      <c r="BM414" s="185"/>
      <c r="BN414" s="69"/>
      <c r="BO414" s="85"/>
      <c r="BP414" s="85"/>
      <c r="BQ414" s="85"/>
      <c r="BR414" s="85"/>
      <c r="BS414" s="85"/>
      <c r="BT414" s="85"/>
      <c r="BU414" s="87"/>
      <c r="BV414" s="87"/>
      <c r="BW414" s="87"/>
      <c r="BX414" s="87"/>
      <c r="BY414" s="87"/>
      <c r="BZ414" s="87"/>
      <c r="CA414" s="90"/>
      <c r="CB414" s="90"/>
      <c r="CC414" s="90"/>
      <c r="CD414" s="90"/>
      <c r="CE414" s="90"/>
      <c r="CF414" s="90"/>
      <c r="CG414" s="85"/>
      <c r="CH414" s="85"/>
      <c r="CI414" s="85"/>
      <c r="CJ414" s="85"/>
      <c r="CK414" s="85"/>
      <c r="CL414" s="87"/>
      <c r="CM414" s="87"/>
      <c r="CN414" s="87"/>
      <c r="CO414" s="87"/>
      <c r="CP414" s="90"/>
      <c r="CQ414" s="90"/>
      <c r="CR414" s="90"/>
      <c r="CS414" s="90"/>
      <c r="CT414" s="85"/>
      <c r="CU414" s="85"/>
      <c r="CV414" s="85"/>
      <c r="CW414" s="85"/>
      <c r="CX414" s="85"/>
      <c r="CY414" s="85"/>
      <c r="CZ414" s="85"/>
      <c r="DA414" s="33">
        <f t="shared" si="5"/>
        <v>0</v>
      </c>
    </row>
    <row r="415" spans="36:105" ht="19" x14ac:dyDescent="0.25">
      <c r="AJ415" s="63"/>
      <c r="AK415" s="20"/>
      <c r="AL415" s="21"/>
      <c r="AM415" s="22"/>
      <c r="AN415" s="23"/>
      <c r="AO415" s="24"/>
      <c r="AP415" s="25"/>
      <c r="AQ415" s="26"/>
      <c r="AR415" s="27"/>
      <c r="AS415" s="192"/>
      <c r="AT415" s="111"/>
      <c r="AU415" s="193"/>
      <c r="AV415" s="140"/>
      <c r="AW415" s="118"/>
      <c r="AX415" s="141"/>
      <c r="AY415" s="149"/>
      <c r="AZ415" s="121"/>
      <c r="BA415" s="150"/>
      <c r="BB415" s="158"/>
      <c r="BC415" s="124"/>
      <c r="BD415" s="159"/>
      <c r="BE415" s="167"/>
      <c r="BF415" s="85"/>
      <c r="BG415" s="168"/>
      <c r="BH415" s="175"/>
      <c r="BI415" s="127"/>
      <c r="BJ415" s="176"/>
      <c r="BK415" s="184"/>
      <c r="BL415" s="130"/>
      <c r="BM415" s="185"/>
      <c r="BN415" s="69"/>
      <c r="BO415" s="85"/>
      <c r="BP415" s="85"/>
      <c r="BQ415" s="85"/>
      <c r="BR415" s="85"/>
      <c r="BS415" s="85"/>
      <c r="BT415" s="85"/>
      <c r="BU415" s="87"/>
      <c r="BV415" s="87"/>
      <c r="BW415" s="87"/>
      <c r="BX415" s="87"/>
      <c r="BY415" s="87"/>
      <c r="BZ415" s="87"/>
      <c r="CA415" s="90"/>
      <c r="CB415" s="90"/>
      <c r="CC415" s="90"/>
      <c r="CD415" s="90"/>
      <c r="CE415" s="90"/>
      <c r="CF415" s="90"/>
      <c r="CG415" s="85"/>
      <c r="CH415" s="85"/>
      <c r="CI415" s="85"/>
      <c r="CJ415" s="85"/>
      <c r="CK415" s="85"/>
      <c r="CL415" s="87"/>
      <c r="CM415" s="87"/>
      <c r="CN415" s="87"/>
      <c r="CO415" s="87"/>
      <c r="CP415" s="90"/>
      <c r="CQ415" s="90"/>
      <c r="CR415" s="90"/>
      <c r="CS415" s="90"/>
      <c r="CT415" s="85"/>
      <c r="CU415" s="85"/>
      <c r="CV415" s="85"/>
      <c r="CW415" s="85"/>
      <c r="CX415" s="85"/>
      <c r="CY415" s="85"/>
      <c r="CZ415" s="85"/>
      <c r="DA415" s="33">
        <f t="shared" si="5"/>
        <v>0</v>
      </c>
    </row>
    <row r="416" spans="36:105" ht="19" x14ac:dyDescent="0.25">
      <c r="AJ416" s="63"/>
      <c r="AK416" s="20"/>
      <c r="AL416" s="21"/>
      <c r="AM416" s="22"/>
      <c r="AN416" s="23"/>
      <c r="AO416" s="24"/>
      <c r="AP416" s="25"/>
      <c r="AQ416" s="26"/>
      <c r="AR416" s="27"/>
      <c r="AS416" s="192"/>
      <c r="AT416" s="111"/>
      <c r="AU416" s="193"/>
      <c r="AV416" s="140"/>
      <c r="AW416" s="118"/>
      <c r="AX416" s="141"/>
      <c r="AY416" s="149"/>
      <c r="AZ416" s="121"/>
      <c r="BA416" s="150"/>
      <c r="BB416" s="158"/>
      <c r="BC416" s="124"/>
      <c r="BD416" s="159"/>
      <c r="BE416" s="167"/>
      <c r="BF416" s="85"/>
      <c r="BG416" s="168"/>
      <c r="BH416" s="175"/>
      <c r="BI416" s="127"/>
      <c r="BJ416" s="176"/>
      <c r="BK416" s="184"/>
      <c r="BL416" s="130"/>
      <c r="BM416" s="185"/>
      <c r="BN416" s="69"/>
      <c r="BO416" s="85"/>
      <c r="BP416" s="85"/>
      <c r="BQ416" s="85"/>
      <c r="BR416" s="85"/>
      <c r="BS416" s="85"/>
      <c r="BT416" s="85"/>
      <c r="BU416" s="87"/>
      <c r="BV416" s="87"/>
      <c r="BW416" s="87"/>
      <c r="BX416" s="87"/>
      <c r="BY416" s="87"/>
      <c r="BZ416" s="87"/>
      <c r="CA416" s="90"/>
      <c r="CB416" s="90"/>
      <c r="CC416" s="90"/>
      <c r="CD416" s="90"/>
      <c r="CE416" s="90"/>
      <c r="CF416" s="90"/>
      <c r="CG416" s="85"/>
      <c r="CH416" s="85"/>
      <c r="CI416" s="85"/>
      <c r="CJ416" s="85"/>
      <c r="CK416" s="85"/>
      <c r="CL416" s="87"/>
      <c r="CM416" s="87"/>
      <c r="CN416" s="87"/>
      <c r="CO416" s="87"/>
      <c r="CP416" s="90"/>
      <c r="CQ416" s="90"/>
      <c r="CR416" s="90"/>
      <c r="CS416" s="90"/>
      <c r="CT416" s="85"/>
      <c r="CU416" s="85"/>
      <c r="CV416" s="85"/>
      <c r="CW416" s="85"/>
      <c r="CX416" s="85"/>
      <c r="CY416" s="85"/>
      <c r="CZ416" s="85"/>
      <c r="DA416" s="33">
        <f t="shared" si="5"/>
        <v>0</v>
      </c>
    </row>
    <row r="417" spans="36:105" ht="19" x14ac:dyDescent="0.25">
      <c r="AJ417" s="63"/>
      <c r="AK417" s="20"/>
      <c r="AL417" s="21"/>
      <c r="AM417" s="22"/>
      <c r="AN417" s="23"/>
      <c r="AO417" s="24"/>
      <c r="AP417" s="25"/>
      <c r="AQ417" s="26"/>
      <c r="AR417" s="27"/>
      <c r="AS417" s="192"/>
      <c r="AT417" s="111"/>
      <c r="AU417" s="193"/>
      <c r="AV417" s="140"/>
      <c r="AW417" s="118"/>
      <c r="AX417" s="141"/>
      <c r="AY417" s="149"/>
      <c r="AZ417" s="121"/>
      <c r="BA417" s="150"/>
      <c r="BB417" s="158"/>
      <c r="BC417" s="124"/>
      <c r="BD417" s="159"/>
      <c r="BE417" s="167"/>
      <c r="BF417" s="85"/>
      <c r="BG417" s="168"/>
      <c r="BH417" s="175"/>
      <c r="BI417" s="127"/>
      <c r="BJ417" s="176"/>
      <c r="BK417" s="184"/>
      <c r="BL417" s="130"/>
      <c r="BM417" s="185"/>
      <c r="BN417" s="69"/>
      <c r="BO417" s="85"/>
      <c r="BP417" s="85"/>
      <c r="BQ417" s="85"/>
      <c r="BR417" s="85"/>
      <c r="BS417" s="85"/>
      <c r="BT417" s="85"/>
      <c r="BU417" s="87"/>
      <c r="BV417" s="87"/>
      <c r="BW417" s="87"/>
      <c r="BX417" s="87"/>
      <c r="BY417" s="87"/>
      <c r="BZ417" s="87"/>
      <c r="CA417" s="90"/>
      <c r="CB417" s="90"/>
      <c r="CC417" s="90"/>
      <c r="CD417" s="90"/>
      <c r="CE417" s="90"/>
      <c r="CF417" s="90"/>
      <c r="CG417" s="85"/>
      <c r="CH417" s="85"/>
      <c r="CI417" s="85"/>
      <c r="CJ417" s="85"/>
      <c r="CK417" s="85"/>
      <c r="CL417" s="87"/>
      <c r="CM417" s="87"/>
      <c r="CN417" s="87"/>
      <c r="CO417" s="87"/>
      <c r="CP417" s="90"/>
      <c r="CQ417" s="90"/>
      <c r="CR417" s="90"/>
      <c r="CS417" s="90"/>
      <c r="CT417" s="85"/>
      <c r="CU417" s="85"/>
      <c r="CV417" s="85"/>
      <c r="CW417" s="85"/>
      <c r="CX417" s="85"/>
      <c r="CY417" s="85"/>
      <c r="CZ417" s="85"/>
      <c r="DA417" s="33">
        <f t="shared" si="5"/>
        <v>0</v>
      </c>
    </row>
    <row r="418" spans="36:105" ht="19" x14ac:dyDescent="0.25">
      <c r="AJ418" s="63"/>
      <c r="AK418" s="20"/>
      <c r="AL418" s="21"/>
      <c r="AM418" s="22"/>
      <c r="AN418" s="23"/>
      <c r="AO418" s="24"/>
      <c r="AP418" s="25"/>
      <c r="AQ418" s="26"/>
      <c r="AR418" s="27"/>
      <c r="AS418" s="192"/>
      <c r="AT418" s="111"/>
      <c r="AU418" s="193"/>
      <c r="AV418" s="140"/>
      <c r="AW418" s="118"/>
      <c r="AX418" s="141"/>
      <c r="AY418" s="149"/>
      <c r="AZ418" s="121"/>
      <c r="BA418" s="150"/>
      <c r="BB418" s="158"/>
      <c r="BC418" s="124"/>
      <c r="BD418" s="159"/>
      <c r="BE418" s="167"/>
      <c r="BF418" s="85"/>
      <c r="BG418" s="168"/>
      <c r="BH418" s="175"/>
      <c r="BI418" s="127"/>
      <c r="BJ418" s="176"/>
      <c r="BK418" s="184"/>
      <c r="BL418" s="130"/>
      <c r="BM418" s="185"/>
      <c r="BN418" s="69"/>
      <c r="BO418" s="85"/>
      <c r="BP418" s="85"/>
      <c r="BQ418" s="85"/>
      <c r="BR418" s="85"/>
      <c r="BS418" s="85"/>
      <c r="BT418" s="85"/>
      <c r="BU418" s="87"/>
      <c r="BV418" s="87"/>
      <c r="BW418" s="87"/>
      <c r="BX418" s="87"/>
      <c r="BY418" s="87"/>
      <c r="BZ418" s="87"/>
      <c r="CA418" s="90"/>
      <c r="CB418" s="90"/>
      <c r="CC418" s="90"/>
      <c r="CD418" s="90"/>
      <c r="CE418" s="90"/>
      <c r="CF418" s="90"/>
      <c r="CG418" s="85"/>
      <c r="CH418" s="85"/>
      <c r="CI418" s="85"/>
      <c r="CJ418" s="85"/>
      <c r="CK418" s="85"/>
      <c r="CL418" s="87"/>
      <c r="CM418" s="87"/>
      <c r="CN418" s="87"/>
      <c r="CO418" s="87"/>
      <c r="CP418" s="90"/>
      <c r="CQ418" s="90"/>
      <c r="CR418" s="90"/>
      <c r="CS418" s="90"/>
      <c r="CT418" s="85"/>
      <c r="CU418" s="85"/>
      <c r="CV418" s="85"/>
      <c r="CW418" s="85"/>
      <c r="CX418" s="85"/>
      <c r="CY418" s="85"/>
      <c r="CZ418" s="85"/>
      <c r="DA418" s="33">
        <f t="shared" si="5"/>
        <v>0</v>
      </c>
    </row>
    <row r="419" spans="36:105" ht="19" x14ac:dyDescent="0.25">
      <c r="AJ419" s="63"/>
      <c r="AK419" s="20"/>
      <c r="AL419" s="21"/>
      <c r="AM419" s="22"/>
      <c r="AN419" s="23"/>
      <c r="AO419" s="24"/>
      <c r="AP419" s="25"/>
      <c r="AQ419" s="26"/>
      <c r="AR419" s="27"/>
      <c r="AS419" s="192"/>
      <c r="AT419" s="111"/>
      <c r="AU419" s="193"/>
      <c r="AV419" s="140"/>
      <c r="AW419" s="118"/>
      <c r="AX419" s="141"/>
      <c r="AY419" s="149"/>
      <c r="AZ419" s="121"/>
      <c r="BA419" s="150"/>
      <c r="BB419" s="158"/>
      <c r="BC419" s="124"/>
      <c r="BD419" s="159"/>
      <c r="BE419" s="167"/>
      <c r="BF419" s="85"/>
      <c r="BG419" s="168"/>
      <c r="BH419" s="175"/>
      <c r="BI419" s="127"/>
      <c r="BJ419" s="176"/>
      <c r="BK419" s="184"/>
      <c r="BL419" s="130"/>
      <c r="BM419" s="185"/>
      <c r="BN419" s="69"/>
      <c r="BO419" s="85"/>
      <c r="BP419" s="85"/>
      <c r="BQ419" s="85"/>
      <c r="BR419" s="85"/>
      <c r="BS419" s="85"/>
      <c r="BT419" s="85"/>
      <c r="BU419" s="87"/>
      <c r="BV419" s="87"/>
      <c r="BW419" s="87"/>
      <c r="BX419" s="87"/>
      <c r="BY419" s="87"/>
      <c r="BZ419" s="87"/>
      <c r="CA419" s="90"/>
      <c r="CB419" s="90"/>
      <c r="CC419" s="90"/>
      <c r="CD419" s="90"/>
      <c r="CE419" s="90"/>
      <c r="CF419" s="90"/>
      <c r="CG419" s="85"/>
      <c r="CH419" s="85"/>
      <c r="CI419" s="85"/>
      <c r="CJ419" s="85"/>
      <c r="CK419" s="85"/>
      <c r="CL419" s="87"/>
      <c r="CM419" s="87"/>
      <c r="CN419" s="87"/>
      <c r="CO419" s="87"/>
      <c r="CP419" s="90"/>
      <c r="CQ419" s="90"/>
      <c r="CR419" s="90"/>
      <c r="CS419" s="90"/>
      <c r="CT419" s="85"/>
      <c r="CU419" s="85"/>
      <c r="CV419" s="85"/>
      <c r="CW419" s="85"/>
      <c r="CX419" s="85"/>
      <c r="CY419" s="85"/>
      <c r="CZ419" s="85"/>
      <c r="DA419" s="33">
        <f t="shared" si="5"/>
        <v>0</v>
      </c>
    </row>
    <row r="420" spans="36:105" ht="19" x14ac:dyDescent="0.25">
      <c r="AJ420" s="63"/>
      <c r="AK420" s="20"/>
      <c r="AL420" s="21"/>
      <c r="AM420" s="22"/>
      <c r="AN420" s="23"/>
      <c r="AO420" s="24"/>
      <c r="AP420" s="25"/>
      <c r="AQ420" s="26"/>
      <c r="AR420" s="27"/>
      <c r="AS420" s="192"/>
      <c r="AT420" s="111"/>
      <c r="AU420" s="193"/>
      <c r="AV420" s="140"/>
      <c r="AW420" s="118"/>
      <c r="AX420" s="141"/>
      <c r="AY420" s="149"/>
      <c r="AZ420" s="121"/>
      <c r="BA420" s="150"/>
      <c r="BB420" s="158"/>
      <c r="BC420" s="124"/>
      <c r="BD420" s="159"/>
      <c r="BE420" s="167"/>
      <c r="BF420" s="85"/>
      <c r="BG420" s="168"/>
      <c r="BH420" s="175"/>
      <c r="BI420" s="127"/>
      <c r="BJ420" s="176"/>
      <c r="BK420" s="184"/>
      <c r="BL420" s="130"/>
      <c r="BM420" s="185"/>
      <c r="BN420" s="69"/>
      <c r="BO420" s="85"/>
      <c r="BP420" s="85"/>
      <c r="BQ420" s="85"/>
      <c r="BR420" s="85"/>
      <c r="BS420" s="85"/>
      <c r="BT420" s="85"/>
      <c r="BU420" s="87"/>
      <c r="BV420" s="87"/>
      <c r="BW420" s="87"/>
      <c r="BX420" s="87"/>
      <c r="BY420" s="87"/>
      <c r="BZ420" s="87"/>
      <c r="CA420" s="90"/>
      <c r="CB420" s="90"/>
      <c r="CC420" s="90"/>
      <c r="CD420" s="90"/>
      <c r="CE420" s="90"/>
      <c r="CF420" s="90"/>
      <c r="CG420" s="85"/>
      <c r="CH420" s="85"/>
      <c r="CI420" s="85"/>
      <c r="CJ420" s="85"/>
      <c r="CK420" s="85"/>
      <c r="CL420" s="87"/>
      <c r="CM420" s="87"/>
      <c r="CN420" s="87"/>
      <c r="CO420" s="87"/>
      <c r="CP420" s="90"/>
      <c r="CQ420" s="90"/>
      <c r="CR420" s="90"/>
      <c r="CS420" s="90"/>
      <c r="CT420" s="85"/>
      <c r="CU420" s="85"/>
      <c r="CV420" s="85"/>
      <c r="CW420" s="85"/>
      <c r="CX420" s="85"/>
      <c r="CY420" s="85"/>
      <c r="CZ420" s="85"/>
      <c r="DA420" s="33">
        <f t="shared" si="5"/>
        <v>0</v>
      </c>
    </row>
    <row r="421" spans="36:105" ht="19" x14ac:dyDescent="0.25">
      <c r="AJ421" s="63"/>
      <c r="AK421" s="20"/>
      <c r="AL421" s="21"/>
      <c r="AM421" s="22"/>
      <c r="AN421" s="23"/>
      <c r="AO421" s="24"/>
      <c r="AP421" s="25"/>
      <c r="AQ421" s="26"/>
      <c r="AR421" s="27"/>
      <c r="AS421" s="192"/>
      <c r="AT421" s="111"/>
      <c r="AU421" s="193"/>
      <c r="AV421" s="140"/>
      <c r="AW421" s="118"/>
      <c r="AX421" s="141"/>
      <c r="AY421" s="149"/>
      <c r="AZ421" s="121"/>
      <c r="BA421" s="150"/>
      <c r="BB421" s="158"/>
      <c r="BC421" s="124"/>
      <c r="BD421" s="159"/>
      <c r="BE421" s="167"/>
      <c r="BF421" s="85"/>
      <c r="BG421" s="168"/>
      <c r="BH421" s="175"/>
      <c r="BI421" s="127"/>
      <c r="BJ421" s="176"/>
      <c r="BK421" s="184"/>
      <c r="BL421" s="130"/>
      <c r="BM421" s="185"/>
      <c r="BN421" s="69"/>
      <c r="BO421" s="85"/>
      <c r="BP421" s="85"/>
      <c r="BQ421" s="85"/>
      <c r="BR421" s="85"/>
      <c r="BS421" s="85"/>
      <c r="BT421" s="85"/>
      <c r="BU421" s="87"/>
      <c r="BV421" s="87"/>
      <c r="BW421" s="87"/>
      <c r="BX421" s="87"/>
      <c r="BY421" s="87"/>
      <c r="BZ421" s="87"/>
      <c r="CA421" s="90"/>
      <c r="CB421" s="90"/>
      <c r="CC421" s="90"/>
      <c r="CD421" s="90"/>
      <c r="CE421" s="90"/>
      <c r="CF421" s="90"/>
      <c r="CG421" s="85"/>
      <c r="CH421" s="85"/>
      <c r="CI421" s="85"/>
      <c r="CJ421" s="85"/>
      <c r="CK421" s="85"/>
      <c r="CL421" s="87"/>
      <c r="CM421" s="87"/>
      <c r="CN421" s="87"/>
      <c r="CO421" s="87"/>
      <c r="CP421" s="90"/>
      <c r="CQ421" s="90"/>
      <c r="CR421" s="90"/>
      <c r="CS421" s="90"/>
      <c r="CT421" s="85"/>
      <c r="CU421" s="85"/>
      <c r="CV421" s="85"/>
      <c r="CW421" s="85"/>
      <c r="CX421" s="85"/>
      <c r="CY421" s="85"/>
      <c r="CZ421" s="85"/>
      <c r="DA421" s="33">
        <f t="shared" si="5"/>
        <v>0</v>
      </c>
    </row>
    <row r="422" spans="36:105" ht="19" x14ac:dyDescent="0.25">
      <c r="AJ422" s="63"/>
      <c r="AK422" s="20"/>
      <c r="AL422" s="21"/>
      <c r="AM422" s="22"/>
      <c r="AN422" s="23"/>
      <c r="AO422" s="24"/>
      <c r="AP422" s="25"/>
      <c r="AQ422" s="26"/>
      <c r="AR422" s="27"/>
      <c r="AS422" s="192"/>
      <c r="AT422" s="111"/>
      <c r="AU422" s="193"/>
      <c r="AV422" s="140"/>
      <c r="AW422" s="118"/>
      <c r="AX422" s="141"/>
      <c r="AY422" s="149"/>
      <c r="AZ422" s="121"/>
      <c r="BA422" s="150"/>
      <c r="BB422" s="158"/>
      <c r="BC422" s="124"/>
      <c r="BD422" s="159"/>
      <c r="BE422" s="167"/>
      <c r="BF422" s="85"/>
      <c r="BG422" s="168"/>
      <c r="BH422" s="175"/>
      <c r="BI422" s="127"/>
      <c r="BJ422" s="176"/>
      <c r="BK422" s="184"/>
      <c r="BL422" s="130"/>
      <c r="BM422" s="185"/>
      <c r="BN422" s="69"/>
      <c r="BO422" s="85"/>
      <c r="BP422" s="85"/>
      <c r="BQ422" s="85"/>
      <c r="BR422" s="85"/>
      <c r="BS422" s="85"/>
      <c r="BT422" s="85"/>
      <c r="BU422" s="87"/>
      <c r="BV422" s="87"/>
      <c r="BW422" s="87"/>
      <c r="BX422" s="87"/>
      <c r="BY422" s="87"/>
      <c r="BZ422" s="87"/>
      <c r="CA422" s="90"/>
      <c r="CB422" s="90"/>
      <c r="CC422" s="90"/>
      <c r="CD422" s="90"/>
      <c r="CE422" s="90"/>
      <c r="CF422" s="90"/>
      <c r="CG422" s="85"/>
      <c r="CH422" s="85"/>
      <c r="CI422" s="85"/>
      <c r="CJ422" s="85"/>
      <c r="CK422" s="85"/>
      <c r="CL422" s="87"/>
      <c r="CM422" s="87"/>
      <c r="CN422" s="87"/>
      <c r="CO422" s="87"/>
      <c r="CP422" s="90"/>
      <c r="CQ422" s="90"/>
      <c r="CR422" s="90"/>
      <c r="CS422" s="90"/>
      <c r="CT422" s="85"/>
      <c r="CU422" s="85"/>
      <c r="CV422" s="85"/>
      <c r="CW422" s="85"/>
      <c r="CX422" s="85"/>
      <c r="CY422" s="85"/>
      <c r="CZ422" s="85"/>
      <c r="DA422" s="33">
        <f t="shared" ref="DA422:DA485" si="6">D422</f>
        <v>0</v>
      </c>
    </row>
    <row r="423" spans="36:105" ht="19" x14ac:dyDescent="0.25">
      <c r="AJ423" s="63"/>
      <c r="AK423" s="20"/>
      <c r="AL423" s="21"/>
      <c r="AM423" s="22"/>
      <c r="AN423" s="23"/>
      <c r="AO423" s="24"/>
      <c r="AP423" s="25"/>
      <c r="AQ423" s="26"/>
      <c r="AR423" s="27"/>
      <c r="AS423" s="192"/>
      <c r="AT423" s="111"/>
      <c r="AU423" s="193"/>
      <c r="AV423" s="140"/>
      <c r="AW423" s="118"/>
      <c r="AX423" s="141"/>
      <c r="AY423" s="149"/>
      <c r="AZ423" s="121"/>
      <c r="BA423" s="150"/>
      <c r="BB423" s="158"/>
      <c r="BC423" s="124"/>
      <c r="BD423" s="159"/>
      <c r="BE423" s="167"/>
      <c r="BF423" s="85"/>
      <c r="BG423" s="168"/>
      <c r="BH423" s="175"/>
      <c r="BI423" s="127"/>
      <c r="BJ423" s="176"/>
      <c r="BK423" s="184"/>
      <c r="BL423" s="130"/>
      <c r="BM423" s="185"/>
      <c r="BN423" s="69"/>
      <c r="BO423" s="85"/>
      <c r="BP423" s="85"/>
      <c r="BQ423" s="85"/>
      <c r="BR423" s="85"/>
      <c r="BS423" s="85"/>
      <c r="BT423" s="85"/>
      <c r="BU423" s="87"/>
      <c r="BV423" s="87"/>
      <c r="BW423" s="87"/>
      <c r="BX423" s="87"/>
      <c r="BY423" s="87"/>
      <c r="BZ423" s="87"/>
      <c r="CA423" s="90"/>
      <c r="CB423" s="90"/>
      <c r="CC423" s="90"/>
      <c r="CD423" s="90"/>
      <c r="CE423" s="90"/>
      <c r="CF423" s="90"/>
      <c r="CG423" s="85"/>
      <c r="CH423" s="85"/>
      <c r="CI423" s="85"/>
      <c r="CJ423" s="85"/>
      <c r="CK423" s="85"/>
      <c r="CL423" s="87"/>
      <c r="CM423" s="87"/>
      <c r="CN423" s="87"/>
      <c r="CO423" s="87"/>
      <c r="CP423" s="90"/>
      <c r="CQ423" s="90"/>
      <c r="CR423" s="90"/>
      <c r="CS423" s="90"/>
      <c r="CT423" s="85"/>
      <c r="CU423" s="85"/>
      <c r="CV423" s="85"/>
      <c r="CW423" s="85"/>
      <c r="CX423" s="85"/>
      <c r="CY423" s="85"/>
      <c r="CZ423" s="85"/>
      <c r="DA423" s="33">
        <f t="shared" si="6"/>
        <v>0</v>
      </c>
    </row>
    <row r="424" spans="36:105" ht="19" x14ac:dyDescent="0.25">
      <c r="AJ424" s="63"/>
      <c r="AK424" s="20"/>
      <c r="AL424" s="21"/>
      <c r="AM424" s="22"/>
      <c r="AN424" s="23"/>
      <c r="AO424" s="24"/>
      <c r="AP424" s="25"/>
      <c r="AQ424" s="26"/>
      <c r="AR424" s="27"/>
      <c r="AS424" s="192"/>
      <c r="AT424" s="111"/>
      <c r="AU424" s="193"/>
      <c r="AV424" s="140"/>
      <c r="AW424" s="118"/>
      <c r="AX424" s="141"/>
      <c r="AY424" s="149"/>
      <c r="AZ424" s="121"/>
      <c r="BA424" s="150"/>
      <c r="BB424" s="158"/>
      <c r="BC424" s="124"/>
      <c r="BD424" s="159"/>
      <c r="BE424" s="167"/>
      <c r="BF424" s="85"/>
      <c r="BG424" s="168"/>
      <c r="BH424" s="175"/>
      <c r="BI424" s="127"/>
      <c r="BJ424" s="176"/>
      <c r="BK424" s="184"/>
      <c r="BL424" s="130"/>
      <c r="BM424" s="185"/>
      <c r="BN424" s="69"/>
      <c r="BO424" s="85"/>
      <c r="BP424" s="85"/>
      <c r="BQ424" s="85"/>
      <c r="BR424" s="85"/>
      <c r="BS424" s="85"/>
      <c r="BT424" s="85"/>
      <c r="BU424" s="87"/>
      <c r="BV424" s="87"/>
      <c r="BW424" s="87"/>
      <c r="BX424" s="87"/>
      <c r="BY424" s="87"/>
      <c r="BZ424" s="87"/>
      <c r="CA424" s="90"/>
      <c r="CB424" s="90"/>
      <c r="CC424" s="90"/>
      <c r="CD424" s="90"/>
      <c r="CE424" s="90"/>
      <c r="CF424" s="90"/>
      <c r="CG424" s="85"/>
      <c r="CH424" s="85"/>
      <c r="CI424" s="85"/>
      <c r="CJ424" s="85"/>
      <c r="CK424" s="85"/>
      <c r="CL424" s="87"/>
      <c r="CM424" s="87"/>
      <c r="CN424" s="87"/>
      <c r="CO424" s="87"/>
      <c r="CP424" s="90"/>
      <c r="CQ424" s="90"/>
      <c r="CR424" s="90"/>
      <c r="CS424" s="90"/>
      <c r="CT424" s="85"/>
      <c r="CU424" s="85"/>
      <c r="CV424" s="85"/>
      <c r="CW424" s="85"/>
      <c r="CX424" s="85"/>
      <c r="CY424" s="85"/>
      <c r="CZ424" s="85"/>
      <c r="DA424" s="33">
        <f t="shared" si="6"/>
        <v>0</v>
      </c>
    </row>
    <row r="425" spans="36:105" ht="19" x14ac:dyDescent="0.25">
      <c r="AJ425" s="63"/>
      <c r="AK425" s="20"/>
      <c r="AL425" s="21"/>
      <c r="AM425" s="22"/>
      <c r="AN425" s="23"/>
      <c r="AO425" s="24"/>
      <c r="AP425" s="25"/>
      <c r="AQ425" s="26"/>
      <c r="AR425" s="27"/>
      <c r="AS425" s="192"/>
      <c r="AT425" s="111"/>
      <c r="AU425" s="193"/>
      <c r="AV425" s="140"/>
      <c r="AW425" s="118"/>
      <c r="AX425" s="141"/>
      <c r="AY425" s="149"/>
      <c r="AZ425" s="121"/>
      <c r="BA425" s="150"/>
      <c r="BB425" s="158"/>
      <c r="BC425" s="124"/>
      <c r="BD425" s="159"/>
      <c r="BE425" s="167"/>
      <c r="BF425" s="85"/>
      <c r="BG425" s="168"/>
      <c r="BH425" s="175"/>
      <c r="BI425" s="127"/>
      <c r="BJ425" s="176"/>
      <c r="BK425" s="184"/>
      <c r="BL425" s="130"/>
      <c r="BM425" s="185"/>
      <c r="BN425" s="69"/>
      <c r="BO425" s="85"/>
      <c r="BP425" s="85"/>
      <c r="BQ425" s="85"/>
      <c r="BR425" s="85"/>
      <c r="BS425" s="85"/>
      <c r="BT425" s="85"/>
      <c r="BU425" s="87"/>
      <c r="BV425" s="87"/>
      <c r="BW425" s="87"/>
      <c r="BX425" s="87"/>
      <c r="BY425" s="87"/>
      <c r="BZ425" s="87"/>
      <c r="CA425" s="90"/>
      <c r="CB425" s="90"/>
      <c r="CC425" s="90"/>
      <c r="CD425" s="90"/>
      <c r="CE425" s="90"/>
      <c r="CF425" s="90"/>
      <c r="CG425" s="85"/>
      <c r="CH425" s="85"/>
      <c r="CI425" s="85"/>
      <c r="CJ425" s="85"/>
      <c r="CK425" s="85"/>
      <c r="CL425" s="87"/>
      <c r="CM425" s="87"/>
      <c r="CN425" s="87"/>
      <c r="CO425" s="87"/>
      <c r="CP425" s="90"/>
      <c r="CQ425" s="90"/>
      <c r="CR425" s="90"/>
      <c r="CS425" s="90"/>
      <c r="CT425" s="85"/>
      <c r="CU425" s="85"/>
      <c r="CV425" s="85"/>
      <c r="CW425" s="85"/>
      <c r="CX425" s="85"/>
      <c r="CY425" s="85"/>
      <c r="CZ425" s="85"/>
      <c r="DA425" s="33">
        <f t="shared" si="6"/>
        <v>0</v>
      </c>
    </row>
    <row r="426" spans="36:105" ht="19" x14ac:dyDescent="0.25">
      <c r="AJ426" s="63"/>
      <c r="AK426" s="20"/>
      <c r="AL426" s="21"/>
      <c r="AM426" s="22"/>
      <c r="AN426" s="23"/>
      <c r="AO426" s="24"/>
      <c r="AP426" s="25"/>
      <c r="AQ426" s="26"/>
      <c r="AR426" s="27"/>
      <c r="AS426" s="192"/>
      <c r="AT426" s="111"/>
      <c r="AU426" s="193"/>
      <c r="AV426" s="140"/>
      <c r="AW426" s="118"/>
      <c r="AX426" s="141"/>
      <c r="AY426" s="149"/>
      <c r="AZ426" s="121"/>
      <c r="BA426" s="150"/>
      <c r="BB426" s="158"/>
      <c r="BC426" s="124"/>
      <c r="BD426" s="159"/>
      <c r="BE426" s="167"/>
      <c r="BF426" s="85"/>
      <c r="BG426" s="168"/>
      <c r="BH426" s="175"/>
      <c r="BI426" s="127"/>
      <c r="BJ426" s="176"/>
      <c r="BK426" s="184"/>
      <c r="BL426" s="130"/>
      <c r="BM426" s="185"/>
      <c r="BN426" s="69"/>
      <c r="BO426" s="85"/>
      <c r="BP426" s="85"/>
      <c r="BQ426" s="85"/>
      <c r="BR426" s="85"/>
      <c r="BS426" s="85"/>
      <c r="BT426" s="85"/>
      <c r="BU426" s="87"/>
      <c r="BV426" s="87"/>
      <c r="BW426" s="87"/>
      <c r="BX426" s="87"/>
      <c r="BY426" s="87"/>
      <c r="BZ426" s="87"/>
      <c r="CA426" s="90"/>
      <c r="CB426" s="90"/>
      <c r="CC426" s="90"/>
      <c r="CD426" s="90"/>
      <c r="CE426" s="90"/>
      <c r="CF426" s="90"/>
      <c r="CG426" s="85"/>
      <c r="CH426" s="85"/>
      <c r="CI426" s="85"/>
      <c r="CJ426" s="85"/>
      <c r="CK426" s="85"/>
      <c r="CL426" s="87"/>
      <c r="CM426" s="87"/>
      <c r="CN426" s="87"/>
      <c r="CO426" s="87"/>
      <c r="CP426" s="90"/>
      <c r="CQ426" s="90"/>
      <c r="CR426" s="90"/>
      <c r="CS426" s="90"/>
      <c r="CT426" s="85"/>
      <c r="CU426" s="85"/>
      <c r="CV426" s="85"/>
      <c r="CW426" s="85"/>
      <c r="CX426" s="85"/>
      <c r="CY426" s="85"/>
      <c r="CZ426" s="85"/>
      <c r="DA426" s="33">
        <f t="shared" si="6"/>
        <v>0</v>
      </c>
    </row>
    <row r="427" spans="36:105" ht="19" x14ac:dyDescent="0.25">
      <c r="AJ427" s="63"/>
      <c r="AK427" s="20"/>
      <c r="AL427" s="21"/>
      <c r="AM427" s="22"/>
      <c r="AN427" s="23"/>
      <c r="AO427" s="24"/>
      <c r="AP427" s="25"/>
      <c r="AQ427" s="26"/>
      <c r="AR427" s="27"/>
      <c r="AS427" s="192"/>
      <c r="AT427" s="111"/>
      <c r="AU427" s="193"/>
      <c r="AV427" s="140"/>
      <c r="AW427" s="118"/>
      <c r="AX427" s="141"/>
      <c r="AY427" s="149"/>
      <c r="AZ427" s="121"/>
      <c r="BA427" s="150"/>
      <c r="BB427" s="158"/>
      <c r="BC427" s="124"/>
      <c r="BD427" s="159"/>
      <c r="BE427" s="167"/>
      <c r="BF427" s="85"/>
      <c r="BG427" s="168"/>
      <c r="BH427" s="175"/>
      <c r="BI427" s="127"/>
      <c r="BJ427" s="176"/>
      <c r="BK427" s="184"/>
      <c r="BL427" s="130"/>
      <c r="BM427" s="185"/>
      <c r="BN427" s="69"/>
      <c r="BO427" s="85"/>
      <c r="BP427" s="85"/>
      <c r="BQ427" s="85"/>
      <c r="BR427" s="85"/>
      <c r="BS427" s="85"/>
      <c r="BT427" s="85"/>
      <c r="BU427" s="87"/>
      <c r="BV427" s="87"/>
      <c r="BW427" s="87"/>
      <c r="BX427" s="87"/>
      <c r="BY427" s="87"/>
      <c r="BZ427" s="87"/>
      <c r="CA427" s="90"/>
      <c r="CB427" s="90"/>
      <c r="CC427" s="90"/>
      <c r="CD427" s="90"/>
      <c r="CE427" s="90"/>
      <c r="CF427" s="90"/>
      <c r="CG427" s="85"/>
      <c r="CH427" s="85"/>
      <c r="CI427" s="85"/>
      <c r="CJ427" s="85"/>
      <c r="CK427" s="85"/>
      <c r="CL427" s="87"/>
      <c r="CM427" s="87"/>
      <c r="CN427" s="87"/>
      <c r="CO427" s="87"/>
      <c r="CP427" s="90"/>
      <c r="CQ427" s="90"/>
      <c r="CR427" s="90"/>
      <c r="CS427" s="90"/>
      <c r="CT427" s="85"/>
      <c r="CU427" s="85"/>
      <c r="CV427" s="85"/>
      <c r="CW427" s="85"/>
      <c r="CX427" s="85"/>
      <c r="CY427" s="85"/>
      <c r="CZ427" s="85"/>
      <c r="DA427" s="33">
        <f t="shared" si="6"/>
        <v>0</v>
      </c>
    </row>
    <row r="428" spans="36:105" ht="19" x14ac:dyDescent="0.25">
      <c r="AJ428" s="63"/>
      <c r="AK428" s="20"/>
      <c r="AL428" s="21"/>
      <c r="AM428" s="22"/>
      <c r="AN428" s="23"/>
      <c r="AO428" s="24"/>
      <c r="AP428" s="25"/>
      <c r="AQ428" s="26"/>
      <c r="AR428" s="27"/>
      <c r="AS428" s="192"/>
      <c r="AT428" s="111"/>
      <c r="AU428" s="193"/>
      <c r="AV428" s="140"/>
      <c r="AW428" s="118"/>
      <c r="AX428" s="141"/>
      <c r="AY428" s="149"/>
      <c r="AZ428" s="121"/>
      <c r="BA428" s="150"/>
      <c r="BB428" s="158"/>
      <c r="BC428" s="124"/>
      <c r="BD428" s="159"/>
      <c r="BE428" s="167"/>
      <c r="BF428" s="85"/>
      <c r="BG428" s="168"/>
      <c r="BH428" s="175"/>
      <c r="BI428" s="127"/>
      <c r="BJ428" s="176"/>
      <c r="BK428" s="184"/>
      <c r="BL428" s="130"/>
      <c r="BM428" s="185"/>
      <c r="BN428" s="69"/>
      <c r="BO428" s="85"/>
      <c r="BP428" s="85"/>
      <c r="BQ428" s="85"/>
      <c r="BR428" s="85"/>
      <c r="BS428" s="85"/>
      <c r="BT428" s="85"/>
      <c r="BU428" s="87"/>
      <c r="BV428" s="87"/>
      <c r="BW428" s="87"/>
      <c r="BX428" s="87"/>
      <c r="BY428" s="87"/>
      <c r="BZ428" s="87"/>
      <c r="CA428" s="90"/>
      <c r="CB428" s="90"/>
      <c r="CC428" s="90"/>
      <c r="CD428" s="90"/>
      <c r="CE428" s="90"/>
      <c r="CF428" s="90"/>
      <c r="CG428" s="85"/>
      <c r="CH428" s="85"/>
      <c r="CI428" s="85"/>
      <c r="CJ428" s="85"/>
      <c r="CK428" s="85"/>
      <c r="CL428" s="87"/>
      <c r="CM428" s="87"/>
      <c r="CN428" s="87"/>
      <c r="CO428" s="87"/>
      <c r="CP428" s="90"/>
      <c r="CQ428" s="90"/>
      <c r="CR428" s="90"/>
      <c r="CS428" s="90"/>
      <c r="CT428" s="85"/>
      <c r="CU428" s="85"/>
      <c r="CV428" s="85"/>
      <c r="CW428" s="85"/>
      <c r="CX428" s="85"/>
      <c r="CY428" s="85"/>
      <c r="CZ428" s="85"/>
      <c r="DA428" s="33">
        <f t="shared" si="6"/>
        <v>0</v>
      </c>
    </row>
    <row r="429" spans="36:105" ht="19" x14ac:dyDescent="0.25">
      <c r="AJ429" s="63"/>
      <c r="AK429" s="20"/>
      <c r="AL429" s="21"/>
      <c r="AM429" s="22"/>
      <c r="AN429" s="23"/>
      <c r="AO429" s="24"/>
      <c r="AP429" s="25"/>
      <c r="AQ429" s="26"/>
      <c r="AR429" s="27"/>
      <c r="AS429" s="192"/>
      <c r="AT429" s="111"/>
      <c r="AU429" s="193"/>
      <c r="AV429" s="140"/>
      <c r="AW429" s="118"/>
      <c r="AX429" s="141"/>
      <c r="AY429" s="149"/>
      <c r="AZ429" s="121"/>
      <c r="BA429" s="150"/>
      <c r="BB429" s="158"/>
      <c r="BC429" s="124"/>
      <c r="BD429" s="159"/>
      <c r="BE429" s="167"/>
      <c r="BF429" s="85"/>
      <c r="BG429" s="168"/>
      <c r="BH429" s="175"/>
      <c r="BI429" s="127"/>
      <c r="BJ429" s="176"/>
      <c r="BK429" s="184"/>
      <c r="BL429" s="130"/>
      <c r="BM429" s="185"/>
      <c r="BN429" s="69"/>
      <c r="BO429" s="85"/>
      <c r="BP429" s="85"/>
      <c r="BQ429" s="85"/>
      <c r="BR429" s="85"/>
      <c r="BS429" s="85"/>
      <c r="BT429" s="85"/>
      <c r="BU429" s="87"/>
      <c r="BV429" s="87"/>
      <c r="BW429" s="87"/>
      <c r="BX429" s="87"/>
      <c r="BY429" s="87"/>
      <c r="BZ429" s="87"/>
      <c r="CA429" s="90"/>
      <c r="CB429" s="90"/>
      <c r="CC429" s="90"/>
      <c r="CD429" s="90"/>
      <c r="CE429" s="90"/>
      <c r="CF429" s="90"/>
      <c r="CG429" s="85"/>
      <c r="CH429" s="85"/>
      <c r="CI429" s="85"/>
      <c r="CJ429" s="85"/>
      <c r="CK429" s="85"/>
      <c r="CL429" s="87"/>
      <c r="CM429" s="87"/>
      <c r="CN429" s="87"/>
      <c r="CO429" s="87"/>
      <c r="CP429" s="90"/>
      <c r="CQ429" s="90"/>
      <c r="CR429" s="90"/>
      <c r="CS429" s="90"/>
      <c r="CT429" s="85"/>
      <c r="CU429" s="85"/>
      <c r="CV429" s="85"/>
      <c r="CW429" s="85"/>
      <c r="CX429" s="85"/>
      <c r="CY429" s="85"/>
      <c r="CZ429" s="85"/>
      <c r="DA429" s="33">
        <f t="shared" si="6"/>
        <v>0</v>
      </c>
    </row>
    <row r="430" spans="36:105" ht="19" x14ac:dyDescent="0.25">
      <c r="AJ430" s="63"/>
      <c r="AK430" s="20"/>
      <c r="AL430" s="21"/>
      <c r="AM430" s="22"/>
      <c r="AN430" s="23"/>
      <c r="AO430" s="24"/>
      <c r="AP430" s="25"/>
      <c r="AQ430" s="26"/>
      <c r="AR430" s="27"/>
      <c r="AS430" s="192"/>
      <c r="AT430" s="111"/>
      <c r="AU430" s="193"/>
      <c r="AV430" s="140"/>
      <c r="AW430" s="118"/>
      <c r="AX430" s="141"/>
      <c r="AY430" s="149"/>
      <c r="AZ430" s="121"/>
      <c r="BA430" s="150"/>
      <c r="BB430" s="158"/>
      <c r="BC430" s="124"/>
      <c r="BD430" s="159"/>
      <c r="BE430" s="167"/>
      <c r="BF430" s="85"/>
      <c r="BG430" s="168"/>
      <c r="BH430" s="175"/>
      <c r="BI430" s="127"/>
      <c r="BJ430" s="176"/>
      <c r="BK430" s="184"/>
      <c r="BL430" s="130"/>
      <c r="BM430" s="185"/>
      <c r="BN430" s="69"/>
      <c r="BO430" s="85"/>
      <c r="BP430" s="85"/>
      <c r="BQ430" s="85"/>
      <c r="BR430" s="85"/>
      <c r="BS430" s="85"/>
      <c r="BT430" s="85"/>
      <c r="BU430" s="87"/>
      <c r="BV430" s="87"/>
      <c r="BW430" s="87"/>
      <c r="BX430" s="87"/>
      <c r="BY430" s="87"/>
      <c r="BZ430" s="87"/>
      <c r="CA430" s="90"/>
      <c r="CB430" s="90"/>
      <c r="CC430" s="90"/>
      <c r="CD430" s="90"/>
      <c r="CE430" s="90"/>
      <c r="CF430" s="90"/>
      <c r="CG430" s="85"/>
      <c r="CH430" s="85"/>
      <c r="CI430" s="85"/>
      <c r="CJ430" s="85"/>
      <c r="CK430" s="85"/>
      <c r="CL430" s="87"/>
      <c r="CM430" s="87"/>
      <c r="CN430" s="87"/>
      <c r="CO430" s="87"/>
      <c r="CP430" s="90"/>
      <c r="CQ430" s="90"/>
      <c r="CR430" s="90"/>
      <c r="CS430" s="90"/>
      <c r="CT430" s="85"/>
      <c r="CU430" s="85"/>
      <c r="CV430" s="85"/>
      <c r="CW430" s="85"/>
      <c r="CX430" s="85"/>
      <c r="CY430" s="85"/>
      <c r="CZ430" s="85"/>
      <c r="DA430" s="33">
        <f t="shared" si="6"/>
        <v>0</v>
      </c>
    </row>
    <row r="431" spans="36:105" ht="19" x14ac:dyDescent="0.25">
      <c r="AJ431" s="63"/>
      <c r="AK431" s="20"/>
      <c r="AL431" s="21"/>
      <c r="AM431" s="22"/>
      <c r="AN431" s="23"/>
      <c r="AO431" s="24"/>
      <c r="AP431" s="25"/>
      <c r="AQ431" s="26"/>
      <c r="AR431" s="27"/>
      <c r="AS431" s="192"/>
      <c r="AT431" s="111"/>
      <c r="AU431" s="193"/>
      <c r="AV431" s="140"/>
      <c r="AW431" s="118"/>
      <c r="AX431" s="141"/>
      <c r="AY431" s="149"/>
      <c r="AZ431" s="121"/>
      <c r="BA431" s="150"/>
      <c r="BB431" s="158"/>
      <c r="BC431" s="124"/>
      <c r="BD431" s="159"/>
      <c r="BE431" s="167"/>
      <c r="BF431" s="85"/>
      <c r="BG431" s="168"/>
      <c r="BH431" s="175"/>
      <c r="BI431" s="127"/>
      <c r="BJ431" s="176"/>
      <c r="BK431" s="184"/>
      <c r="BL431" s="130"/>
      <c r="BM431" s="185"/>
      <c r="BN431" s="69"/>
      <c r="BO431" s="85"/>
      <c r="BP431" s="85"/>
      <c r="BQ431" s="85"/>
      <c r="BR431" s="85"/>
      <c r="BS431" s="85"/>
      <c r="BT431" s="85"/>
      <c r="BU431" s="87"/>
      <c r="BV431" s="87"/>
      <c r="BW431" s="87"/>
      <c r="BX431" s="87"/>
      <c r="BY431" s="87"/>
      <c r="BZ431" s="87"/>
      <c r="CA431" s="90"/>
      <c r="CB431" s="90"/>
      <c r="CC431" s="90"/>
      <c r="CD431" s="90"/>
      <c r="CE431" s="90"/>
      <c r="CF431" s="90"/>
      <c r="CG431" s="85"/>
      <c r="CH431" s="85"/>
      <c r="CI431" s="85"/>
      <c r="CJ431" s="85"/>
      <c r="CK431" s="85"/>
      <c r="CL431" s="87"/>
      <c r="CM431" s="87"/>
      <c r="CN431" s="87"/>
      <c r="CO431" s="87"/>
      <c r="CP431" s="90"/>
      <c r="CQ431" s="90"/>
      <c r="CR431" s="90"/>
      <c r="CS431" s="90"/>
      <c r="CT431" s="85"/>
      <c r="CU431" s="85"/>
      <c r="CV431" s="85"/>
      <c r="CW431" s="85"/>
      <c r="CX431" s="85"/>
      <c r="CY431" s="85"/>
      <c r="CZ431" s="85"/>
      <c r="DA431" s="33">
        <f t="shared" si="6"/>
        <v>0</v>
      </c>
    </row>
    <row r="432" spans="36:105" ht="19" x14ac:dyDescent="0.25">
      <c r="AJ432" s="63"/>
      <c r="AK432" s="20"/>
      <c r="AL432" s="21"/>
      <c r="AM432" s="22"/>
      <c r="AN432" s="23"/>
      <c r="AO432" s="24"/>
      <c r="AP432" s="25"/>
      <c r="AQ432" s="26"/>
      <c r="AR432" s="27"/>
      <c r="AS432" s="192"/>
      <c r="AT432" s="111"/>
      <c r="AU432" s="193"/>
      <c r="AV432" s="140"/>
      <c r="AW432" s="118"/>
      <c r="AX432" s="141"/>
      <c r="AY432" s="149"/>
      <c r="AZ432" s="121"/>
      <c r="BA432" s="150"/>
      <c r="BB432" s="158"/>
      <c r="BC432" s="124"/>
      <c r="BD432" s="159"/>
      <c r="BE432" s="167"/>
      <c r="BF432" s="85"/>
      <c r="BG432" s="168"/>
      <c r="BH432" s="175"/>
      <c r="BI432" s="127"/>
      <c r="BJ432" s="176"/>
      <c r="BK432" s="184"/>
      <c r="BL432" s="130"/>
      <c r="BM432" s="185"/>
      <c r="BN432" s="69"/>
      <c r="BO432" s="85"/>
      <c r="BP432" s="85"/>
      <c r="BQ432" s="85"/>
      <c r="BR432" s="85"/>
      <c r="BS432" s="85"/>
      <c r="BT432" s="85"/>
      <c r="BU432" s="87"/>
      <c r="BV432" s="87"/>
      <c r="BW432" s="87"/>
      <c r="BX432" s="87"/>
      <c r="BY432" s="87"/>
      <c r="BZ432" s="87"/>
      <c r="CA432" s="90"/>
      <c r="CB432" s="90"/>
      <c r="CC432" s="90"/>
      <c r="CD432" s="90"/>
      <c r="CE432" s="90"/>
      <c r="CF432" s="90"/>
      <c r="CG432" s="85"/>
      <c r="CH432" s="85"/>
      <c r="CI432" s="85"/>
      <c r="CJ432" s="85"/>
      <c r="CK432" s="85"/>
      <c r="CL432" s="87"/>
      <c r="CM432" s="87"/>
      <c r="CN432" s="87"/>
      <c r="CO432" s="87"/>
      <c r="CP432" s="90"/>
      <c r="CQ432" s="90"/>
      <c r="CR432" s="90"/>
      <c r="CS432" s="90"/>
      <c r="CT432" s="85"/>
      <c r="CU432" s="85"/>
      <c r="CV432" s="85"/>
      <c r="CW432" s="85"/>
      <c r="CX432" s="85"/>
      <c r="CY432" s="85"/>
      <c r="CZ432" s="85"/>
      <c r="DA432" s="33">
        <f t="shared" si="6"/>
        <v>0</v>
      </c>
    </row>
    <row r="433" spans="36:105" ht="19" x14ac:dyDescent="0.25">
      <c r="AJ433" s="63"/>
      <c r="AK433" s="20"/>
      <c r="AL433" s="21"/>
      <c r="AM433" s="22"/>
      <c r="AN433" s="23"/>
      <c r="AO433" s="24"/>
      <c r="AP433" s="25"/>
      <c r="AQ433" s="26"/>
      <c r="AR433" s="27"/>
      <c r="AS433" s="192"/>
      <c r="AT433" s="111"/>
      <c r="AU433" s="193"/>
      <c r="AV433" s="140"/>
      <c r="AW433" s="118"/>
      <c r="AX433" s="141"/>
      <c r="AY433" s="149"/>
      <c r="AZ433" s="121"/>
      <c r="BA433" s="150"/>
      <c r="BB433" s="158"/>
      <c r="BC433" s="124"/>
      <c r="BD433" s="159"/>
      <c r="BE433" s="167"/>
      <c r="BF433" s="85"/>
      <c r="BG433" s="168"/>
      <c r="BH433" s="175"/>
      <c r="BI433" s="127"/>
      <c r="BJ433" s="176"/>
      <c r="BK433" s="184"/>
      <c r="BL433" s="130"/>
      <c r="BM433" s="185"/>
      <c r="BN433" s="69"/>
      <c r="BO433" s="85"/>
      <c r="BP433" s="85"/>
      <c r="BQ433" s="85"/>
      <c r="BR433" s="85"/>
      <c r="BS433" s="85"/>
      <c r="BT433" s="85"/>
      <c r="BU433" s="87"/>
      <c r="BV433" s="87"/>
      <c r="BW433" s="87"/>
      <c r="BX433" s="87"/>
      <c r="BY433" s="87"/>
      <c r="BZ433" s="87"/>
      <c r="CA433" s="90"/>
      <c r="CB433" s="90"/>
      <c r="CC433" s="90"/>
      <c r="CD433" s="90"/>
      <c r="CE433" s="90"/>
      <c r="CF433" s="90"/>
      <c r="CG433" s="85"/>
      <c r="CH433" s="85"/>
      <c r="CI433" s="85"/>
      <c r="CJ433" s="85"/>
      <c r="CK433" s="85"/>
      <c r="CL433" s="87"/>
      <c r="CM433" s="87"/>
      <c r="CN433" s="87"/>
      <c r="CO433" s="87"/>
      <c r="CP433" s="90"/>
      <c r="CQ433" s="90"/>
      <c r="CR433" s="90"/>
      <c r="CS433" s="90"/>
      <c r="CT433" s="85"/>
      <c r="CU433" s="85"/>
      <c r="CV433" s="85"/>
      <c r="CW433" s="85"/>
      <c r="CX433" s="85"/>
      <c r="CY433" s="85"/>
      <c r="CZ433" s="85"/>
      <c r="DA433" s="33">
        <f t="shared" si="6"/>
        <v>0</v>
      </c>
    </row>
    <row r="434" spans="36:105" ht="19" x14ac:dyDescent="0.25">
      <c r="AJ434" s="63"/>
      <c r="AK434" s="20"/>
      <c r="AL434" s="21"/>
      <c r="AM434" s="22"/>
      <c r="AN434" s="23"/>
      <c r="AO434" s="24"/>
      <c r="AP434" s="25"/>
      <c r="AQ434" s="26"/>
      <c r="AR434" s="27"/>
      <c r="AS434" s="192"/>
      <c r="AT434" s="111"/>
      <c r="AU434" s="193"/>
      <c r="AV434" s="140"/>
      <c r="AW434" s="118"/>
      <c r="AX434" s="141"/>
      <c r="AY434" s="149"/>
      <c r="AZ434" s="121"/>
      <c r="BA434" s="150"/>
      <c r="BB434" s="158"/>
      <c r="BC434" s="124"/>
      <c r="BD434" s="159"/>
      <c r="BE434" s="167"/>
      <c r="BF434" s="85"/>
      <c r="BG434" s="168"/>
      <c r="BH434" s="175"/>
      <c r="BI434" s="127"/>
      <c r="BJ434" s="176"/>
      <c r="BK434" s="184"/>
      <c r="BL434" s="130"/>
      <c r="BM434" s="185"/>
      <c r="BN434" s="69"/>
      <c r="BO434" s="85"/>
      <c r="BP434" s="85"/>
      <c r="BQ434" s="85"/>
      <c r="BR434" s="85"/>
      <c r="BS434" s="85"/>
      <c r="BT434" s="85"/>
      <c r="BU434" s="87"/>
      <c r="BV434" s="87"/>
      <c r="BW434" s="87"/>
      <c r="BX434" s="87"/>
      <c r="BY434" s="87"/>
      <c r="BZ434" s="87"/>
      <c r="CA434" s="90"/>
      <c r="CB434" s="90"/>
      <c r="CC434" s="90"/>
      <c r="CD434" s="90"/>
      <c r="CE434" s="90"/>
      <c r="CF434" s="90"/>
      <c r="CG434" s="85"/>
      <c r="CH434" s="85"/>
      <c r="CI434" s="85"/>
      <c r="CJ434" s="85"/>
      <c r="CK434" s="85"/>
      <c r="CL434" s="87"/>
      <c r="CM434" s="87"/>
      <c r="CN434" s="87"/>
      <c r="CO434" s="87"/>
      <c r="CP434" s="90"/>
      <c r="CQ434" s="90"/>
      <c r="CR434" s="90"/>
      <c r="CS434" s="90"/>
      <c r="CT434" s="85"/>
      <c r="CU434" s="85"/>
      <c r="CV434" s="85"/>
      <c r="CW434" s="85"/>
      <c r="CX434" s="85"/>
      <c r="CY434" s="85"/>
      <c r="CZ434" s="85"/>
      <c r="DA434" s="33">
        <f t="shared" si="6"/>
        <v>0</v>
      </c>
    </row>
    <row r="435" spans="36:105" ht="19" x14ac:dyDescent="0.25">
      <c r="AJ435" s="63"/>
      <c r="AK435" s="20"/>
      <c r="AL435" s="21"/>
      <c r="AM435" s="22"/>
      <c r="AN435" s="23"/>
      <c r="AO435" s="24"/>
      <c r="AP435" s="25"/>
      <c r="AQ435" s="26"/>
      <c r="AR435" s="27"/>
      <c r="AS435" s="192"/>
      <c r="AT435" s="111"/>
      <c r="AU435" s="193"/>
      <c r="AV435" s="140"/>
      <c r="AW435" s="118"/>
      <c r="AX435" s="141"/>
      <c r="AY435" s="149"/>
      <c r="AZ435" s="121"/>
      <c r="BA435" s="150"/>
      <c r="BB435" s="158"/>
      <c r="BC435" s="124"/>
      <c r="BD435" s="159"/>
      <c r="BE435" s="167"/>
      <c r="BF435" s="85"/>
      <c r="BG435" s="168"/>
      <c r="BH435" s="175"/>
      <c r="BI435" s="127"/>
      <c r="BJ435" s="176"/>
      <c r="BK435" s="184"/>
      <c r="BL435" s="130"/>
      <c r="BM435" s="185"/>
      <c r="BN435" s="69"/>
      <c r="BO435" s="85"/>
      <c r="BP435" s="85"/>
      <c r="BQ435" s="85"/>
      <c r="BR435" s="85"/>
      <c r="BS435" s="85"/>
      <c r="BT435" s="85"/>
      <c r="BU435" s="87"/>
      <c r="BV435" s="87"/>
      <c r="BW435" s="87"/>
      <c r="BX435" s="87"/>
      <c r="BY435" s="87"/>
      <c r="BZ435" s="87"/>
      <c r="CA435" s="90"/>
      <c r="CB435" s="90"/>
      <c r="CC435" s="90"/>
      <c r="CD435" s="90"/>
      <c r="CE435" s="90"/>
      <c r="CF435" s="90"/>
      <c r="CG435" s="85"/>
      <c r="CH435" s="85"/>
      <c r="CI435" s="85"/>
      <c r="CJ435" s="85"/>
      <c r="CK435" s="85"/>
      <c r="CL435" s="87"/>
      <c r="CM435" s="87"/>
      <c r="CN435" s="87"/>
      <c r="CO435" s="87"/>
      <c r="CP435" s="90"/>
      <c r="CQ435" s="90"/>
      <c r="CR435" s="90"/>
      <c r="CS435" s="90"/>
      <c r="CT435" s="85"/>
      <c r="CU435" s="85"/>
      <c r="CV435" s="85"/>
      <c r="CW435" s="85"/>
      <c r="CX435" s="85"/>
      <c r="CY435" s="85"/>
      <c r="CZ435" s="85"/>
      <c r="DA435" s="33">
        <f t="shared" si="6"/>
        <v>0</v>
      </c>
    </row>
    <row r="436" spans="36:105" ht="19" x14ac:dyDescent="0.25">
      <c r="AJ436" s="63"/>
      <c r="AK436" s="20"/>
      <c r="AL436" s="21"/>
      <c r="AM436" s="22"/>
      <c r="AN436" s="23"/>
      <c r="AO436" s="24"/>
      <c r="AP436" s="25"/>
      <c r="AQ436" s="26"/>
      <c r="AR436" s="27"/>
      <c r="AS436" s="192"/>
      <c r="AT436" s="111"/>
      <c r="AU436" s="193"/>
      <c r="AV436" s="140"/>
      <c r="AW436" s="118"/>
      <c r="AX436" s="141"/>
      <c r="AY436" s="149"/>
      <c r="AZ436" s="121"/>
      <c r="BA436" s="150"/>
      <c r="BB436" s="158"/>
      <c r="BC436" s="124"/>
      <c r="BD436" s="159"/>
      <c r="BE436" s="167"/>
      <c r="BF436" s="85"/>
      <c r="BG436" s="168"/>
      <c r="BH436" s="175"/>
      <c r="BI436" s="127"/>
      <c r="BJ436" s="176"/>
      <c r="BK436" s="184"/>
      <c r="BL436" s="130"/>
      <c r="BM436" s="185"/>
      <c r="BN436" s="69"/>
      <c r="BO436" s="85"/>
      <c r="BP436" s="85"/>
      <c r="BQ436" s="85"/>
      <c r="BR436" s="85"/>
      <c r="BS436" s="85"/>
      <c r="BT436" s="85"/>
      <c r="BU436" s="87"/>
      <c r="BV436" s="87"/>
      <c r="BW436" s="87"/>
      <c r="BX436" s="87"/>
      <c r="BY436" s="87"/>
      <c r="BZ436" s="87"/>
      <c r="CA436" s="90"/>
      <c r="CB436" s="90"/>
      <c r="CC436" s="90"/>
      <c r="CD436" s="90"/>
      <c r="CE436" s="90"/>
      <c r="CF436" s="90"/>
      <c r="CG436" s="85"/>
      <c r="CH436" s="85"/>
      <c r="CI436" s="85"/>
      <c r="CJ436" s="85"/>
      <c r="CK436" s="85"/>
      <c r="CL436" s="87"/>
      <c r="CM436" s="87"/>
      <c r="CN436" s="87"/>
      <c r="CO436" s="87"/>
      <c r="CP436" s="90"/>
      <c r="CQ436" s="90"/>
      <c r="CR436" s="90"/>
      <c r="CS436" s="90"/>
      <c r="CT436" s="85"/>
      <c r="CU436" s="85"/>
      <c r="CV436" s="85"/>
      <c r="CW436" s="85"/>
      <c r="CX436" s="85"/>
      <c r="CY436" s="85"/>
      <c r="CZ436" s="85"/>
      <c r="DA436" s="33">
        <f t="shared" si="6"/>
        <v>0</v>
      </c>
    </row>
    <row r="437" spans="36:105" ht="19" x14ac:dyDescent="0.25">
      <c r="AJ437" s="63"/>
      <c r="AK437" s="20"/>
      <c r="AL437" s="21"/>
      <c r="AM437" s="22"/>
      <c r="AN437" s="23"/>
      <c r="AO437" s="24"/>
      <c r="AP437" s="25"/>
      <c r="AQ437" s="26"/>
      <c r="AR437" s="27"/>
      <c r="AS437" s="192"/>
      <c r="AT437" s="111"/>
      <c r="AU437" s="193"/>
      <c r="AV437" s="140"/>
      <c r="AW437" s="118"/>
      <c r="AX437" s="141"/>
      <c r="AY437" s="149"/>
      <c r="AZ437" s="121"/>
      <c r="BA437" s="150"/>
      <c r="BB437" s="158"/>
      <c r="BC437" s="124"/>
      <c r="BD437" s="159"/>
      <c r="BE437" s="167"/>
      <c r="BF437" s="85"/>
      <c r="BG437" s="168"/>
      <c r="BH437" s="175"/>
      <c r="BI437" s="127"/>
      <c r="BJ437" s="176"/>
      <c r="BK437" s="184"/>
      <c r="BL437" s="130"/>
      <c r="BM437" s="185"/>
      <c r="BN437" s="69"/>
      <c r="BO437" s="85"/>
      <c r="BP437" s="85"/>
      <c r="BQ437" s="85"/>
      <c r="BR437" s="85"/>
      <c r="BS437" s="85"/>
      <c r="BT437" s="85"/>
      <c r="BU437" s="87"/>
      <c r="BV437" s="87"/>
      <c r="BW437" s="87"/>
      <c r="BX437" s="87"/>
      <c r="BY437" s="87"/>
      <c r="BZ437" s="87"/>
      <c r="CA437" s="90"/>
      <c r="CB437" s="90"/>
      <c r="CC437" s="90"/>
      <c r="CD437" s="90"/>
      <c r="CE437" s="90"/>
      <c r="CF437" s="90"/>
      <c r="CG437" s="85"/>
      <c r="CH437" s="85"/>
      <c r="CI437" s="85"/>
      <c r="CJ437" s="85"/>
      <c r="CK437" s="85"/>
      <c r="CL437" s="87"/>
      <c r="CM437" s="87"/>
      <c r="CN437" s="87"/>
      <c r="CO437" s="87"/>
      <c r="CP437" s="90"/>
      <c r="CQ437" s="90"/>
      <c r="CR437" s="90"/>
      <c r="CS437" s="90"/>
      <c r="CT437" s="85"/>
      <c r="CU437" s="85"/>
      <c r="CV437" s="85"/>
      <c r="CW437" s="85"/>
      <c r="CX437" s="85"/>
      <c r="CY437" s="85"/>
      <c r="CZ437" s="85"/>
      <c r="DA437" s="33">
        <f t="shared" si="6"/>
        <v>0</v>
      </c>
    </row>
    <row r="438" spans="36:105" ht="19" x14ac:dyDescent="0.25">
      <c r="AJ438" s="63"/>
      <c r="AK438" s="20"/>
      <c r="AL438" s="21"/>
      <c r="AM438" s="22"/>
      <c r="AN438" s="23"/>
      <c r="AO438" s="24"/>
      <c r="AP438" s="25"/>
      <c r="AQ438" s="26"/>
      <c r="AR438" s="27"/>
      <c r="AS438" s="192"/>
      <c r="AT438" s="111"/>
      <c r="AU438" s="193"/>
      <c r="AV438" s="140"/>
      <c r="AW438" s="118"/>
      <c r="AX438" s="141"/>
      <c r="AY438" s="149"/>
      <c r="AZ438" s="121"/>
      <c r="BA438" s="150"/>
      <c r="BB438" s="158"/>
      <c r="BC438" s="124"/>
      <c r="BD438" s="159"/>
      <c r="BE438" s="167"/>
      <c r="BF438" s="85"/>
      <c r="BG438" s="168"/>
      <c r="BH438" s="175"/>
      <c r="BI438" s="127"/>
      <c r="BJ438" s="176"/>
      <c r="BK438" s="184"/>
      <c r="BL438" s="130"/>
      <c r="BM438" s="185"/>
      <c r="BN438" s="69"/>
      <c r="BO438" s="85"/>
      <c r="BP438" s="85"/>
      <c r="BQ438" s="85"/>
      <c r="BR438" s="85"/>
      <c r="BS438" s="85"/>
      <c r="BT438" s="85"/>
      <c r="BU438" s="87"/>
      <c r="BV438" s="87"/>
      <c r="BW438" s="87"/>
      <c r="BX438" s="87"/>
      <c r="BY438" s="87"/>
      <c r="BZ438" s="87"/>
      <c r="CA438" s="90"/>
      <c r="CB438" s="90"/>
      <c r="CC438" s="90"/>
      <c r="CD438" s="90"/>
      <c r="CE438" s="90"/>
      <c r="CF438" s="90"/>
      <c r="CG438" s="85"/>
      <c r="CH438" s="85"/>
      <c r="CI438" s="85"/>
      <c r="CJ438" s="85"/>
      <c r="CK438" s="85"/>
      <c r="CL438" s="87"/>
      <c r="CM438" s="87"/>
      <c r="CN438" s="87"/>
      <c r="CO438" s="87"/>
      <c r="CP438" s="90"/>
      <c r="CQ438" s="90"/>
      <c r="CR438" s="90"/>
      <c r="CS438" s="90"/>
      <c r="CT438" s="85"/>
      <c r="CU438" s="85"/>
      <c r="CV438" s="85"/>
      <c r="CW438" s="85"/>
      <c r="CX438" s="85"/>
      <c r="CY438" s="85"/>
      <c r="CZ438" s="85"/>
      <c r="DA438" s="33">
        <f t="shared" si="6"/>
        <v>0</v>
      </c>
    </row>
    <row r="439" spans="36:105" ht="19" x14ac:dyDescent="0.25">
      <c r="AJ439" s="63"/>
      <c r="AK439" s="20"/>
      <c r="AL439" s="21"/>
      <c r="AM439" s="22"/>
      <c r="AN439" s="23"/>
      <c r="AO439" s="24"/>
      <c r="AP439" s="25"/>
      <c r="AQ439" s="26"/>
      <c r="AR439" s="27"/>
      <c r="AS439" s="192"/>
      <c r="AT439" s="111"/>
      <c r="AU439" s="193"/>
      <c r="AV439" s="140"/>
      <c r="AW439" s="118"/>
      <c r="AX439" s="141"/>
      <c r="AY439" s="149"/>
      <c r="AZ439" s="121"/>
      <c r="BA439" s="150"/>
      <c r="BB439" s="158"/>
      <c r="BC439" s="124"/>
      <c r="BD439" s="159"/>
      <c r="BE439" s="167"/>
      <c r="BF439" s="85"/>
      <c r="BG439" s="168"/>
      <c r="BH439" s="175"/>
      <c r="BI439" s="127"/>
      <c r="BJ439" s="176"/>
      <c r="BK439" s="184"/>
      <c r="BL439" s="130"/>
      <c r="BM439" s="185"/>
      <c r="BN439" s="69"/>
      <c r="BO439" s="85"/>
      <c r="BP439" s="85"/>
      <c r="BQ439" s="85"/>
      <c r="BR439" s="85"/>
      <c r="BS439" s="85"/>
      <c r="BT439" s="85"/>
      <c r="BU439" s="87"/>
      <c r="BV439" s="87"/>
      <c r="BW439" s="87"/>
      <c r="BX439" s="87"/>
      <c r="BY439" s="87"/>
      <c r="BZ439" s="87"/>
      <c r="CA439" s="90"/>
      <c r="CB439" s="90"/>
      <c r="CC439" s="90"/>
      <c r="CD439" s="90"/>
      <c r="CE439" s="90"/>
      <c r="CF439" s="90"/>
      <c r="CG439" s="85"/>
      <c r="CH439" s="85"/>
      <c r="CI439" s="85"/>
      <c r="CJ439" s="85"/>
      <c r="CK439" s="85"/>
      <c r="CL439" s="87"/>
      <c r="CM439" s="87"/>
      <c r="CN439" s="87"/>
      <c r="CO439" s="87"/>
      <c r="CP439" s="90"/>
      <c r="CQ439" s="90"/>
      <c r="CR439" s="90"/>
      <c r="CS439" s="90"/>
      <c r="CT439" s="85"/>
      <c r="CU439" s="85"/>
      <c r="CV439" s="85"/>
      <c r="CW439" s="85"/>
      <c r="CX439" s="85"/>
      <c r="CY439" s="85"/>
      <c r="CZ439" s="85"/>
      <c r="DA439" s="33">
        <f t="shared" si="6"/>
        <v>0</v>
      </c>
    </row>
    <row r="440" spans="36:105" ht="19" x14ac:dyDescent="0.25">
      <c r="AJ440" s="63"/>
      <c r="AK440" s="20"/>
      <c r="AL440" s="21"/>
      <c r="AM440" s="22"/>
      <c r="AN440" s="23"/>
      <c r="AO440" s="24"/>
      <c r="AP440" s="25"/>
      <c r="AQ440" s="26"/>
      <c r="AR440" s="27"/>
      <c r="AS440" s="192"/>
      <c r="AT440" s="111"/>
      <c r="AU440" s="193"/>
      <c r="AV440" s="140"/>
      <c r="AW440" s="118"/>
      <c r="AX440" s="141"/>
      <c r="AY440" s="149"/>
      <c r="AZ440" s="121"/>
      <c r="BA440" s="150"/>
      <c r="BB440" s="158"/>
      <c r="BC440" s="124"/>
      <c r="BD440" s="159"/>
      <c r="BE440" s="167"/>
      <c r="BF440" s="85"/>
      <c r="BG440" s="168"/>
      <c r="BH440" s="175"/>
      <c r="BI440" s="127"/>
      <c r="BJ440" s="176"/>
      <c r="BK440" s="184"/>
      <c r="BL440" s="130"/>
      <c r="BM440" s="185"/>
      <c r="BN440" s="69"/>
      <c r="BO440" s="85"/>
      <c r="BP440" s="85"/>
      <c r="BQ440" s="85"/>
      <c r="BR440" s="85"/>
      <c r="BS440" s="85"/>
      <c r="BT440" s="85"/>
      <c r="BU440" s="87"/>
      <c r="BV440" s="87"/>
      <c r="BW440" s="87"/>
      <c r="BX440" s="87"/>
      <c r="BY440" s="87"/>
      <c r="BZ440" s="87"/>
      <c r="CA440" s="90"/>
      <c r="CB440" s="90"/>
      <c r="CC440" s="90"/>
      <c r="CD440" s="90"/>
      <c r="CE440" s="90"/>
      <c r="CF440" s="90"/>
      <c r="CG440" s="85"/>
      <c r="CH440" s="85"/>
      <c r="CI440" s="85"/>
      <c r="CJ440" s="85"/>
      <c r="CK440" s="85"/>
      <c r="CL440" s="87"/>
      <c r="CM440" s="87"/>
      <c r="CN440" s="87"/>
      <c r="CO440" s="87"/>
      <c r="CP440" s="90"/>
      <c r="CQ440" s="90"/>
      <c r="CR440" s="90"/>
      <c r="CS440" s="90"/>
      <c r="CT440" s="85"/>
      <c r="CU440" s="85"/>
      <c r="CV440" s="85"/>
      <c r="CW440" s="85"/>
      <c r="CX440" s="85"/>
      <c r="CY440" s="85"/>
      <c r="CZ440" s="85"/>
      <c r="DA440" s="33">
        <f t="shared" si="6"/>
        <v>0</v>
      </c>
    </row>
    <row r="441" spans="36:105" ht="19" x14ac:dyDescent="0.25">
      <c r="AJ441" s="63"/>
      <c r="AK441" s="20"/>
      <c r="AL441" s="21"/>
      <c r="AM441" s="22"/>
      <c r="AN441" s="23"/>
      <c r="AO441" s="24"/>
      <c r="AP441" s="25"/>
      <c r="AQ441" s="26"/>
      <c r="AR441" s="27"/>
      <c r="AS441" s="192"/>
      <c r="AT441" s="111"/>
      <c r="AU441" s="193"/>
      <c r="AV441" s="140"/>
      <c r="AW441" s="118"/>
      <c r="AX441" s="141"/>
      <c r="AY441" s="149"/>
      <c r="AZ441" s="121"/>
      <c r="BA441" s="150"/>
      <c r="BB441" s="158"/>
      <c r="BC441" s="124"/>
      <c r="BD441" s="159"/>
      <c r="BE441" s="167"/>
      <c r="BF441" s="85"/>
      <c r="BG441" s="168"/>
      <c r="BH441" s="175"/>
      <c r="BI441" s="127"/>
      <c r="BJ441" s="176"/>
      <c r="BK441" s="184"/>
      <c r="BL441" s="130"/>
      <c r="BM441" s="185"/>
      <c r="BN441" s="69"/>
      <c r="BO441" s="85"/>
      <c r="BP441" s="85"/>
      <c r="BQ441" s="85"/>
      <c r="BR441" s="85"/>
      <c r="BS441" s="85"/>
      <c r="BT441" s="85"/>
      <c r="BU441" s="87"/>
      <c r="BV441" s="87"/>
      <c r="BW441" s="87"/>
      <c r="BX441" s="87"/>
      <c r="BY441" s="87"/>
      <c r="BZ441" s="87"/>
      <c r="CA441" s="90"/>
      <c r="CB441" s="90"/>
      <c r="CC441" s="90"/>
      <c r="CD441" s="90"/>
      <c r="CE441" s="90"/>
      <c r="CF441" s="90"/>
      <c r="CG441" s="85"/>
      <c r="CH441" s="85"/>
      <c r="CI441" s="85"/>
      <c r="CJ441" s="85"/>
      <c r="CK441" s="85"/>
      <c r="CL441" s="87"/>
      <c r="CM441" s="87"/>
      <c r="CN441" s="87"/>
      <c r="CO441" s="87"/>
      <c r="CP441" s="90"/>
      <c r="CQ441" s="90"/>
      <c r="CR441" s="90"/>
      <c r="CS441" s="90"/>
      <c r="CT441" s="85"/>
      <c r="CU441" s="85"/>
      <c r="CV441" s="85"/>
      <c r="CW441" s="85"/>
      <c r="CX441" s="85"/>
      <c r="CY441" s="85"/>
      <c r="CZ441" s="85"/>
      <c r="DA441" s="33">
        <f t="shared" si="6"/>
        <v>0</v>
      </c>
    </row>
    <row r="442" spans="36:105" ht="19" x14ac:dyDescent="0.25">
      <c r="AJ442" s="63"/>
      <c r="AK442" s="20"/>
      <c r="AL442" s="21"/>
      <c r="AM442" s="22"/>
      <c r="AN442" s="23"/>
      <c r="AO442" s="24"/>
      <c r="AP442" s="25"/>
      <c r="AQ442" s="26"/>
      <c r="AR442" s="27"/>
      <c r="AS442" s="192"/>
      <c r="AT442" s="111"/>
      <c r="AU442" s="193"/>
      <c r="AV442" s="140"/>
      <c r="AW442" s="118"/>
      <c r="AX442" s="141"/>
      <c r="AY442" s="149"/>
      <c r="AZ442" s="121"/>
      <c r="BA442" s="150"/>
      <c r="BB442" s="158"/>
      <c r="BC442" s="124"/>
      <c r="BD442" s="159"/>
      <c r="BE442" s="167"/>
      <c r="BF442" s="85"/>
      <c r="BG442" s="168"/>
      <c r="BH442" s="175"/>
      <c r="BI442" s="127"/>
      <c r="BJ442" s="176"/>
      <c r="BK442" s="184"/>
      <c r="BL442" s="130"/>
      <c r="BM442" s="185"/>
      <c r="BN442" s="69"/>
      <c r="BO442" s="85"/>
      <c r="BP442" s="85"/>
      <c r="BQ442" s="85"/>
      <c r="BR442" s="85"/>
      <c r="BS442" s="85"/>
      <c r="BT442" s="85"/>
      <c r="BU442" s="87"/>
      <c r="BV442" s="87"/>
      <c r="BW442" s="87"/>
      <c r="BX442" s="87"/>
      <c r="BY442" s="87"/>
      <c r="BZ442" s="87"/>
      <c r="CA442" s="90"/>
      <c r="CB442" s="90"/>
      <c r="CC442" s="90"/>
      <c r="CD442" s="90"/>
      <c r="CE442" s="90"/>
      <c r="CF442" s="90"/>
      <c r="CG442" s="85"/>
      <c r="CH442" s="85"/>
      <c r="CI442" s="85"/>
      <c r="CJ442" s="85"/>
      <c r="CK442" s="85"/>
      <c r="CL442" s="87"/>
      <c r="CM442" s="87"/>
      <c r="CN442" s="87"/>
      <c r="CO442" s="87"/>
      <c r="CP442" s="90"/>
      <c r="CQ442" s="90"/>
      <c r="CR442" s="90"/>
      <c r="CS442" s="90"/>
      <c r="CT442" s="85"/>
      <c r="CU442" s="85"/>
      <c r="CV442" s="85"/>
      <c r="CW442" s="85"/>
      <c r="CX442" s="85"/>
      <c r="CY442" s="85"/>
      <c r="CZ442" s="85"/>
      <c r="DA442" s="33">
        <f t="shared" si="6"/>
        <v>0</v>
      </c>
    </row>
    <row r="443" spans="36:105" ht="19" x14ac:dyDescent="0.25">
      <c r="AJ443" s="63"/>
      <c r="AK443" s="20"/>
      <c r="AL443" s="21"/>
      <c r="AM443" s="22"/>
      <c r="AN443" s="23"/>
      <c r="AO443" s="24"/>
      <c r="AP443" s="25"/>
      <c r="AQ443" s="26"/>
      <c r="AR443" s="27"/>
      <c r="AS443" s="192"/>
      <c r="AT443" s="111"/>
      <c r="AU443" s="193"/>
      <c r="AV443" s="140"/>
      <c r="AW443" s="118"/>
      <c r="AX443" s="141"/>
      <c r="AY443" s="149"/>
      <c r="AZ443" s="121"/>
      <c r="BA443" s="150"/>
      <c r="BB443" s="158"/>
      <c r="BC443" s="124"/>
      <c r="BD443" s="159"/>
      <c r="BE443" s="167"/>
      <c r="BF443" s="85"/>
      <c r="BG443" s="168"/>
      <c r="BH443" s="175"/>
      <c r="BI443" s="127"/>
      <c r="BJ443" s="176"/>
      <c r="BK443" s="184"/>
      <c r="BL443" s="130"/>
      <c r="BM443" s="185"/>
      <c r="BN443" s="69"/>
      <c r="BO443" s="85"/>
      <c r="BP443" s="85"/>
      <c r="BQ443" s="85"/>
      <c r="BR443" s="85"/>
      <c r="BS443" s="85"/>
      <c r="BT443" s="85"/>
      <c r="BU443" s="87"/>
      <c r="BV443" s="87"/>
      <c r="BW443" s="87"/>
      <c r="BX443" s="87"/>
      <c r="BY443" s="87"/>
      <c r="BZ443" s="87"/>
      <c r="CA443" s="90"/>
      <c r="CB443" s="90"/>
      <c r="CC443" s="90"/>
      <c r="CD443" s="90"/>
      <c r="CE443" s="90"/>
      <c r="CF443" s="90"/>
      <c r="CG443" s="85"/>
      <c r="CH443" s="85"/>
      <c r="CI443" s="85"/>
      <c r="CJ443" s="85"/>
      <c r="CK443" s="85"/>
      <c r="CL443" s="87"/>
      <c r="CM443" s="87"/>
      <c r="CN443" s="87"/>
      <c r="CO443" s="87"/>
      <c r="CP443" s="90"/>
      <c r="CQ443" s="90"/>
      <c r="CR443" s="90"/>
      <c r="CS443" s="90"/>
      <c r="CT443" s="85"/>
      <c r="CU443" s="85"/>
      <c r="CV443" s="85"/>
      <c r="CW443" s="85"/>
      <c r="CX443" s="85"/>
      <c r="CY443" s="85"/>
      <c r="CZ443" s="85"/>
      <c r="DA443" s="33">
        <f t="shared" si="6"/>
        <v>0</v>
      </c>
    </row>
    <row r="444" spans="36:105" ht="19" x14ac:dyDescent="0.25">
      <c r="AJ444" s="63"/>
      <c r="AK444" s="20"/>
      <c r="AL444" s="21"/>
      <c r="AM444" s="22"/>
      <c r="AN444" s="23"/>
      <c r="AO444" s="24"/>
      <c r="AP444" s="25"/>
      <c r="AQ444" s="26"/>
      <c r="AR444" s="27"/>
      <c r="AS444" s="192"/>
      <c r="AT444" s="111"/>
      <c r="AU444" s="193"/>
      <c r="AV444" s="140"/>
      <c r="AW444" s="118"/>
      <c r="AX444" s="141"/>
      <c r="AY444" s="149"/>
      <c r="AZ444" s="121"/>
      <c r="BA444" s="150"/>
      <c r="BB444" s="158"/>
      <c r="BC444" s="124"/>
      <c r="BD444" s="159"/>
      <c r="BE444" s="167"/>
      <c r="BF444" s="85"/>
      <c r="BG444" s="168"/>
      <c r="BH444" s="175"/>
      <c r="BI444" s="127"/>
      <c r="BJ444" s="176"/>
      <c r="BK444" s="184"/>
      <c r="BL444" s="130"/>
      <c r="BM444" s="185"/>
      <c r="BN444" s="69"/>
      <c r="BO444" s="85"/>
      <c r="BP444" s="85"/>
      <c r="BQ444" s="85"/>
      <c r="BR444" s="85"/>
      <c r="BS444" s="85"/>
      <c r="BT444" s="85"/>
      <c r="BU444" s="87"/>
      <c r="BV444" s="87"/>
      <c r="BW444" s="87"/>
      <c r="BX444" s="87"/>
      <c r="BY444" s="87"/>
      <c r="BZ444" s="87"/>
      <c r="CA444" s="90"/>
      <c r="CB444" s="90"/>
      <c r="CC444" s="90"/>
      <c r="CD444" s="90"/>
      <c r="CE444" s="90"/>
      <c r="CF444" s="90"/>
      <c r="CG444" s="85"/>
      <c r="CH444" s="85"/>
      <c r="CI444" s="85"/>
      <c r="CJ444" s="85"/>
      <c r="CK444" s="85"/>
      <c r="CL444" s="87"/>
      <c r="CM444" s="87"/>
      <c r="CN444" s="87"/>
      <c r="CO444" s="87"/>
      <c r="CP444" s="90"/>
      <c r="CQ444" s="90"/>
      <c r="CR444" s="90"/>
      <c r="CS444" s="90"/>
      <c r="CT444" s="85"/>
      <c r="CU444" s="85"/>
      <c r="CV444" s="85"/>
      <c r="CW444" s="85"/>
      <c r="CX444" s="85"/>
      <c r="CY444" s="85"/>
      <c r="CZ444" s="85"/>
      <c r="DA444" s="33">
        <f t="shared" si="6"/>
        <v>0</v>
      </c>
    </row>
    <row r="445" spans="36:105" ht="19" x14ac:dyDescent="0.25">
      <c r="AJ445" s="63"/>
      <c r="AK445" s="20"/>
      <c r="AL445" s="21"/>
      <c r="AM445" s="22"/>
      <c r="AN445" s="23"/>
      <c r="AO445" s="24"/>
      <c r="AP445" s="25"/>
      <c r="AQ445" s="26"/>
      <c r="AR445" s="27"/>
      <c r="AS445" s="192"/>
      <c r="AT445" s="111"/>
      <c r="AU445" s="193"/>
      <c r="AV445" s="140"/>
      <c r="AW445" s="118"/>
      <c r="AX445" s="141"/>
      <c r="AY445" s="149"/>
      <c r="AZ445" s="121"/>
      <c r="BA445" s="150"/>
      <c r="BB445" s="158"/>
      <c r="BC445" s="124"/>
      <c r="BD445" s="159"/>
      <c r="BE445" s="167"/>
      <c r="BF445" s="85"/>
      <c r="BG445" s="168"/>
      <c r="BH445" s="175"/>
      <c r="BI445" s="127"/>
      <c r="BJ445" s="176"/>
      <c r="BK445" s="184"/>
      <c r="BL445" s="130"/>
      <c r="BM445" s="185"/>
      <c r="BN445" s="69"/>
      <c r="BO445" s="85"/>
      <c r="BP445" s="85"/>
      <c r="BQ445" s="85"/>
      <c r="BR445" s="85"/>
      <c r="BS445" s="85"/>
      <c r="BT445" s="85"/>
      <c r="BU445" s="87"/>
      <c r="BV445" s="87"/>
      <c r="BW445" s="87"/>
      <c r="BX445" s="87"/>
      <c r="BY445" s="87"/>
      <c r="BZ445" s="87"/>
      <c r="CA445" s="90"/>
      <c r="CB445" s="90"/>
      <c r="CC445" s="90"/>
      <c r="CD445" s="90"/>
      <c r="CE445" s="90"/>
      <c r="CF445" s="90"/>
      <c r="CG445" s="85"/>
      <c r="CH445" s="85"/>
      <c r="CI445" s="85"/>
      <c r="CJ445" s="85"/>
      <c r="CK445" s="85"/>
      <c r="CL445" s="87"/>
      <c r="CM445" s="87"/>
      <c r="CN445" s="87"/>
      <c r="CO445" s="87"/>
      <c r="CP445" s="90"/>
      <c r="CQ445" s="90"/>
      <c r="CR445" s="90"/>
      <c r="CS445" s="90"/>
      <c r="CT445" s="85"/>
      <c r="CU445" s="85"/>
      <c r="CV445" s="85"/>
      <c r="CW445" s="85"/>
      <c r="CX445" s="85"/>
      <c r="CY445" s="85"/>
      <c r="CZ445" s="85"/>
      <c r="DA445" s="33">
        <f t="shared" si="6"/>
        <v>0</v>
      </c>
    </row>
    <row r="446" spans="36:105" ht="19" x14ac:dyDescent="0.25">
      <c r="AJ446" s="63"/>
      <c r="AK446" s="20"/>
      <c r="AL446" s="21"/>
      <c r="AM446" s="22"/>
      <c r="AN446" s="23"/>
      <c r="AO446" s="24"/>
      <c r="AP446" s="25"/>
      <c r="AQ446" s="26"/>
      <c r="AR446" s="27"/>
      <c r="AS446" s="192"/>
      <c r="AT446" s="111"/>
      <c r="AU446" s="193"/>
      <c r="AV446" s="140"/>
      <c r="AW446" s="118"/>
      <c r="AX446" s="141"/>
      <c r="AY446" s="149"/>
      <c r="AZ446" s="121"/>
      <c r="BA446" s="150"/>
      <c r="BB446" s="158"/>
      <c r="BC446" s="124"/>
      <c r="BD446" s="159"/>
      <c r="BE446" s="167"/>
      <c r="BF446" s="85"/>
      <c r="BG446" s="168"/>
      <c r="BH446" s="175"/>
      <c r="BI446" s="127"/>
      <c r="BJ446" s="176"/>
      <c r="BK446" s="184"/>
      <c r="BL446" s="130"/>
      <c r="BM446" s="185"/>
      <c r="BN446" s="69"/>
      <c r="BO446" s="85"/>
      <c r="BP446" s="85"/>
      <c r="BQ446" s="85"/>
      <c r="BR446" s="85"/>
      <c r="BS446" s="85"/>
      <c r="BT446" s="85"/>
      <c r="BU446" s="87"/>
      <c r="BV446" s="87"/>
      <c r="BW446" s="87"/>
      <c r="BX446" s="87"/>
      <c r="BY446" s="87"/>
      <c r="BZ446" s="87"/>
      <c r="CA446" s="90"/>
      <c r="CB446" s="90"/>
      <c r="CC446" s="90"/>
      <c r="CD446" s="90"/>
      <c r="CE446" s="90"/>
      <c r="CF446" s="90"/>
      <c r="CG446" s="85"/>
      <c r="CH446" s="85"/>
      <c r="CI446" s="85"/>
      <c r="CJ446" s="85"/>
      <c r="CK446" s="85"/>
      <c r="CL446" s="87"/>
      <c r="CM446" s="87"/>
      <c r="CN446" s="87"/>
      <c r="CO446" s="87"/>
      <c r="CP446" s="90"/>
      <c r="CQ446" s="90"/>
      <c r="CR446" s="90"/>
      <c r="CS446" s="90"/>
      <c r="CT446" s="85"/>
      <c r="CU446" s="85"/>
      <c r="CV446" s="85"/>
      <c r="CW446" s="85"/>
      <c r="CX446" s="85"/>
      <c r="CY446" s="85"/>
      <c r="CZ446" s="85"/>
      <c r="DA446" s="33">
        <f t="shared" si="6"/>
        <v>0</v>
      </c>
    </row>
    <row r="447" spans="36:105" ht="19" x14ac:dyDescent="0.25">
      <c r="AJ447" s="63"/>
      <c r="AK447" s="20"/>
      <c r="AL447" s="21"/>
      <c r="AM447" s="22"/>
      <c r="AN447" s="23"/>
      <c r="AO447" s="24"/>
      <c r="AP447" s="25"/>
      <c r="AQ447" s="26"/>
      <c r="AR447" s="27"/>
      <c r="AS447" s="192"/>
      <c r="AT447" s="111"/>
      <c r="AU447" s="193"/>
      <c r="AV447" s="140"/>
      <c r="AW447" s="118"/>
      <c r="AX447" s="141"/>
      <c r="AY447" s="149"/>
      <c r="AZ447" s="121"/>
      <c r="BA447" s="150"/>
      <c r="BB447" s="158"/>
      <c r="BC447" s="124"/>
      <c r="BD447" s="159"/>
      <c r="BE447" s="167"/>
      <c r="BF447" s="85"/>
      <c r="BG447" s="168"/>
      <c r="BH447" s="175"/>
      <c r="BI447" s="127"/>
      <c r="BJ447" s="176"/>
      <c r="BK447" s="184"/>
      <c r="BL447" s="130"/>
      <c r="BM447" s="185"/>
      <c r="BN447" s="69"/>
      <c r="BO447" s="85"/>
      <c r="BP447" s="85"/>
      <c r="BQ447" s="85"/>
      <c r="BR447" s="85"/>
      <c r="BS447" s="85"/>
      <c r="BT447" s="85"/>
      <c r="BU447" s="87"/>
      <c r="BV447" s="87"/>
      <c r="BW447" s="87"/>
      <c r="BX447" s="87"/>
      <c r="BY447" s="87"/>
      <c r="BZ447" s="87"/>
      <c r="CA447" s="90"/>
      <c r="CB447" s="90"/>
      <c r="CC447" s="90"/>
      <c r="CD447" s="90"/>
      <c r="CE447" s="90"/>
      <c r="CF447" s="90"/>
      <c r="CG447" s="85"/>
      <c r="CH447" s="85"/>
      <c r="CI447" s="85"/>
      <c r="CJ447" s="85"/>
      <c r="CK447" s="85"/>
      <c r="CL447" s="87"/>
      <c r="CM447" s="87"/>
      <c r="CN447" s="87"/>
      <c r="CO447" s="87"/>
      <c r="CP447" s="90"/>
      <c r="CQ447" s="90"/>
      <c r="CR447" s="90"/>
      <c r="CS447" s="90"/>
      <c r="CT447" s="85"/>
      <c r="CU447" s="85"/>
      <c r="CV447" s="85"/>
      <c r="CW447" s="85"/>
      <c r="CX447" s="85"/>
      <c r="CY447" s="85"/>
      <c r="CZ447" s="85"/>
      <c r="DA447" s="33">
        <f t="shared" si="6"/>
        <v>0</v>
      </c>
    </row>
    <row r="448" spans="36:105" ht="19" x14ac:dyDescent="0.25">
      <c r="AJ448" s="63"/>
      <c r="AK448" s="20"/>
      <c r="AL448" s="21"/>
      <c r="AM448" s="22"/>
      <c r="AN448" s="23"/>
      <c r="AO448" s="24"/>
      <c r="AP448" s="25"/>
      <c r="AQ448" s="26"/>
      <c r="AR448" s="27"/>
      <c r="AS448" s="192"/>
      <c r="AT448" s="111"/>
      <c r="AU448" s="193"/>
      <c r="AV448" s="140"/>
      <c r="AW448" s="118"/>
      <c r="AX448" s="141"/>
      <c r="AY448" s="149"/>
      <c r="AZ448" s="121"/>
      <c r="BA448" s="150"/>
      <c r="BB448" s="158"/>
      <c r="BC448" s="124"/>
      <c r="BD448" s="159"/>
      <c r="BE448" s="167"/>
      <c r="BF448" s="85"/>
      <c r="BG448" s="168"/>
      <c r="BH448" s="175"/>
      <c r="BI448" s="127"/>
      <c r="BJ448" s="176"/>
      <c r="BK448" s="184"/>
      <c r="BL448" s="130"/>
      <c r="BM448" s="185"/>
      <c r="BN448" s="69"/>
      <c r="BO448" s="85"/>
      <c r="BP448" s="85"/>
      <c r="BQ448" s="85"/>
      <c r="BR448" s="85"/>
      <c r="BS448" s="85"/>
      <c r="BT448" s="85"/>
      <c r="BU448" s="87"/>
      <c r="BV448" s="87"/>
      <c r="BW448" s="87"/>
      <c r="BX448" s="87"/>
      <c r="BY448" s="87"/>
      <c r="BZ448" s="87"/>
      <c r="CA448" s="90"/>
      <c r="CB448" s="90"/>
      <c r="CC448" s="90"/>
      <c r="CD448" s="90"/>
      <c r="CE448" s="90"/>
      <c r="CF448" s="90"/>
      <c r="CG448" s="85"/>
      <c r="CH448" s="85"/>
      <c r="CI448" s="85"/>
      <c r="CJ448" s="85"/>
      <c r="CK448" s="85"/>
      <c r="CL448" s="87"/>
      <c r="CM448" s="87"/>
      <c r="CN448" s="87"/>
      <c r="CO448" s="87"/>
      <c r="CP448" s="90"/>
      <c r="CQ448" s="90"/>
      <c r="CR448" s="90"/>
      <c r="CS448" s="90"/>
      <c r="CT448" s="85"/>
      <c r="CU448" s="85"/>
      <c r="CV448" s="85"/>
      <c r="CW448" s="85"/>
      <c r="CX448" s="85"/>
      <c r="CY448" s="85"/>
      <c r="CZ448" s="85"/>
      <c r="DA448" s="33">
        <f t="shared" si="6"/>
        <v>0</v>
      </c>
    </row>
    <row r="449" spans="36:105" ht="19" x14ac:dyDescent="0.25">
      <c r="AJ449" s="63"/>
      <c r="AK449" s="20"/>
      <c r="AL449" s="21"/>
      <c r="AM449" s="22"/>
      <c r="AN449" s="23"/>
      <c r="AO449" s="24"/>
      <c r="AP449" s="25"/>
      <c r="AQ449" s="26"/>
      <c r="AR449" s="27"/>
      <c r="AS449" s="192"/>
      <c r="AT449" s="111"/>
      <c r="AU449" s="193"/>
      <c r="AV449" s="140"/>
      <c r="AW449" s="118"/>
      <c r="AX449" s="141"/>
      <c r="AY449" s="149"/>
      <c r="AZ449" s="121"/>
      <c r="BA449" s="150"/>
      <c r="BB449" s="158"/>
      <c r="BC449" s="124"/>
      <c r="BD449" s="159"/>
      <c r="BE449" s="167"/>
      <c r="BF449" s="85"/>
      <c r="BG449" s="168"/>
      <c r="BH449" s="175"/>
      <c r="BI449" s="127"/>
      <c r="BJ449" s="176"/>
      <c r="BK449" s="184"/>
      <c r="BL449" s="130"/>
      <c r="BM449" s="185"/>
      <c r="BN449" s="69"/>
      <c r="BO449" s="85"/>
      <c r="BP449" s="85"/>
      <c r="BQ449" s="85"/>
      <c r="BR449" s="85"/>
      <c r="BS449" s="85"/>
      <c r="BT449" s="85"/>
      <c r="BU449" s="87"/>
      <c r="BV449" s="87"/>
      <c r="BW449" s="87"/>
      <c r="BX449" s="87"/>
      <c r="BY449" s="87"/>
      <c r="BZ449" s="87"/>
      <c r="CA449" s="90"/>
      <c r="CB449" s="90"/>
      <c r="CC449" s="90"/>
      <c r="CD449" s="90"/>
      <c r="CE449" s="90"/>
      <c r="CF449" s="90"/>
      <c r="CG449" s="85"/>
      <c r="CH449" s="85"/>
      <c r="CI449" s="85"/>
      <c r="CJ449" s="85"/>
      <c r="CK449" s="85"/>
      <c r="CL449" s="87"/>
      <c r="CM449" s="87"/>
      <c r="CN449" s="87"/>
      <c r="CO449" s="87"/>
      <c r="CP449" s="90"/>
      <c r="CQ449" s="90"/>
      <c r="CR449" s="90"/>
      <c r="CS449" s="90"/>
      <c r="CT449" s="85"/>
      <c r="CU449" s="85"/>
      <c r="CV449" s="85"/>
      <c r="CW449" s="85"/>
      <c r="CX449" s="85"/>
      <c r="CY449" s="85"/>
      <c r="CZ449" s="85"/>
      <c r="DA449" s="33">
        <f t="shared" si="6"/>
        <v>0</v>
      </c>
    </row>
    <row r="450" spans="36:105" ht="19" x14ac:dyDescent="0.25">
      <c r="AJ450" s="63"/>
      <c r="AK450" s="20"/>
      <c r="AL450" s="21"/>
      <c r="AM450" s="22"/>
      <c r="AN450" s="23"/>
      <c r="AO450" s="24"/>
      <c r="AP450" s="25"/>
      <c r="AQ450" s="26"/>
      <c r="AR450" s="27"/>
      <c r="AS450" s="192"/>
      <c r="AT450" s="111"/>
      <c r="AU450" s="193"/>
      <c r="AV450" s="140"/>
      <c r="AW450" s="118"/>
      <c r="AX450" s="141"/>
      <c r="AY450" s="149"/>
      <c r="AZ450" s="121"/>
      <c r="BA450" s="150"/>
      <c r="BB450" s="158"/>
      <c r="BC450" s="124"/>
      <c r="BD450" s="159"/>
      <c r="BE450" s="167"/>
      <c r="BF450" s="85"/>
      <c r="BG450" s="168"/>
      <c r="BH450" s="175"/>
      <c r="BI450" s="127"/>
      <c r="BJ450" s="176"/>
      <c r="BK450" s="184"/>
      <c r="BL450" s="130"/>
      <c r="BM450" s="185"/>
      <c r="BN450" s="69"/>
      <c r="BO450" s="85"/>
      <c r="BP450" s="85"/>
      <c r="BQ450" s="85"/>
      <c r="BR450" s="85"/>
      <c r="BS450" s="85"/>
      <c r="BT450" s="85"/>
      <c r="BU450" s="87"/>
      <c r="BV450" s="87"/>
      <c r="BW450" s="87"/>
      <c r="BX450" s="87"/>
      <c r="BY450" s="87"/>
      <c r="BZ450" s="87"/>
      <c r="CA450" s="90"/>
      <c r="CB450" s="90"/>
      <c r="CC450" s="90"/>
      <c r="CD450" s="90"/>
      <c r="CE450" s="90"/>
      <c r="CF450" s="90"/>
      <c r="CG450" s="85"/>
      <c r="CH450" s="85"/>
      <c r="CI450" s="85"/>
      <c r="CJ450" s="85"/>
      <c r="CK450" s="85"/>
      <c r="CL450" s="87"/>
      <c r="CM450" s="87"/>
      <c r="CN450" s="87"/>
      <c r="CO450" s="87"/>
      <c r="CP450" s="90"/>
      <c r="CQ450" s="90"/>
      <c r="CR450" s="90"/>
      <c r="CS450" s="90"/>
      <c r="CT450" s="85"/>
      <c r="CU450" s="85"/>
      <c r="CV450" s="85"/>
      <c r="CW450" s="85"/>
      <c r="CX450" s="85"/>
      <c r="CY450" s="85"/>
      <c r="CZ450" s="85"/>
      <c r="DA450" s="33">
        <f t="shared" si="6"/>
        <v>0</v>
      </c>
    </row>
    <row r="451" spans="36:105" ht="19" x14ac:dyDescent="0.25">
      <c r="AJ451" s="63"/>
      <c r="AK451" s="20"/>
      <c r="AL451" s="21"/>
      <c r="AM451" s="22"/>
      <c r="AN451" s="23"/>
      <c r="AO451" s="24"/>
      <c r="AP451" s="25"/>
      <c r="AQ451" s="26"/>
      <c r="AR451" s="27"/>
      <c r="AS451" s="192"/>
      <c r="AT451" s="111"/>
      <c r="AU451" s="193"/>
      <c r="AV451" s="140"/>
      <c r="AW451" s="118"/>
      <c r="AX451" s="141"/>
      <c r="AY451" s="149"/>
      <c r="AZ451" s="121"/>
      <c r="BA451" s="150"/>
      <c r="BB451" s="158"/>
      <c r="BC451" s="124"/>
      <c r="BD451" s="159"/>
      <c r="BE451" s="167"/>
      <c r="BF451" s="85"/>
      <c r="BG451" s="168"/>
      <c r="BH451" s="175"/>
      <c r="BI451" s="127"/>
      <c r="BJ451" s="176"/>
      <c r="BK451" s="184"/>
      <c r="BL451" s="130"/>
      <c r="BM451" s="185"/>
      <c r="BN451" s="69"/>
      <c r="BO451" s="85"/>
      <c r="BP451" s="85"/>
      <c r="BQ451" s="85"/>
      <c r="BR451" s="85"/>
      <c r="BS451" s="85"/>
      <c r="BT451" s="85"/>
      <c r="BU451" s="87"/>
      <c r="BV451" s="87"/>
      <c r="BW451" s="87"/>
      <c r="BX451" s="87"/>
      <c r="BY451" s="87"/>
      <c r="BZ451" s="87"/>
      <c r="CA451" s="90"/>
      <c r="CB451" s="90"/>
      <c r="CC451" s="90"/>
      <c r="CD451" s="90"/>
      <c r="CE451" s="90"/>
      <c r="CF451" s="90"/>
      <c r="CG451" s="85"/>
      <c r="CH451" s="85"/>
      <c r="CI451" s="85"/>
      <c r="CJ451" s="85"/>
      <c r="CK451" s="85"/>
      <c r="CL451" s="87"/>
      <c r="CM451" s="87"/>
      <c r="CN451" s="87"/>
      <c r="CO451" s="87"/>
      <c r="CP451" s="90"/>
      <c r="CQ451" s="90"/>
      <c r="CR451" s="90"/>
      <c r="CS451" s="90"/>
      <c r="CT451" s="85"/>
      <c r="CU451" s="85"/>
      <c r="CV451" s="85"/>
      <c r="CW451" s="85"/>
      <c r="CX451" s="85"/>
      <c r="CY451" s="85"/>
      <c r="CZ451" s="85"/>
      <c r="DA451" s="33">
        <f t="shared" si="6"/>
        <v>0</v>
      </c>
    </row>
    <row r="452" spans="36:105" ht="19" x14ac:dyDescent="0.25">
      <c r="AJ452" s="63"/>
      <c r="AK452" s="20"/>
      <c r="AL452" s="21"/>
      <c r="AM452" s="22"/>
      <c r="AN452" s="23"/>
      <c r="AO452" s="24"/>
      <c r="AP452" s="25"/>
      <c r="AQ452" s="26"/>
      <c r="AR452" s="27"/>
      <c r="AS452" s="192"/>
      <c r="AT452" s="111"/>
      <c r="AU452" s="193"/>
      <c r="AV452" s="140"/>
      <c r="AW452" s="118"/>
      <c r="AX452" s="141"/>
      <c r="AY452" s="149"/>
      <c r="AZ452" s="121"/>
      <c r="BA452" s="150"/>
      <c r="BB452" s="158"/>
      <c r="BC452" s="124"/>
      <c r="BD452" s="159"/>
      <c r="BE452" s="167"/>
      <c r="BF452" s="85"/>
      <c r="BG452" s="168"/>
      <c r="BH452" s="175"/>
      <c r="BI452" s="127"/>
      <c r="BJ452" s="176"/>
      <c r="BK452" s="184"/>
      <c r="BL452" s="130"/>
      <c r="BM452" s="185"/>
      <c r="BN452" s="69"/>
      <c r="BO452" s="85"/>
      <c r="BP452" s="85"/>
      <c r="BQ452" s="85"/>
      <c r="BR452" s="85"/>
      <c r="BS452" s="85"/>
      <c r="BT452" s="85"/>
      <c r="BU452" s="87"/>
      <c r="BV452" s="87"/>
      <c r="BW452" s="87"/>
      <c r="BX452" s="87"/>
      <c r="BY452" s="87"/>
      <c r="BZ452" s="87"/>
      <c r="CA452" s="90"/>
      <c r="CB452" s="90"/>
      <c r="CC452" s="90"/>
      <c r="CD452" s="90"/>
      <c r="CE452" s="90"/>
      <c r="CF452" s="90"/>
      <c r="CG452" s="85"/>
      <c r="CH452" s="85"/>
      <c r="CI452" s="85"/>
      <c r="CJ452" s="85"/>
      <c r="CK452" s="85"/>
      <c r="CL452" s="87"/>
      <c r="CM452" s="87"/>
      <c r="CN452" s="87"/>
      <c r="CO452" s="87"/>
      <c r="CP452" s="90"/>
      <c r="CQ452" s="90"/>
      <c r="CR452" s="90"/>
      <c r="CS452" s="90"/>
      <c r="CT452" s="85"/>
      <c r="CU452" s="85"/>
      <c r="CV452" s="85"/>
      <c r="CW452" s="85"/>
      <c r="CX452" s="85"/>
      <c r="CY452" s="85"/>
      <c r="CZ452" s="85"/>
      <c r="DA452" s="33">
        <f t="shared" si="6"/>
        <v>0</v>
      </c>
    </row>
    <row r="453" spans="36:105" ht="19" x14ac:dyDescent="0.25">
      <c r="AJ453" s="63"/>
      <c r="AK453" s="20"/>
      <c r="AL453" s="21"/>
      <c r="AM453" s="22"/>
      <c r="AN453" s="23"/>
      <c r="AO453" s="24"/>
      <c r="AP453" s="25"/>
      <c r="AQ453" s="26"/>
      <c r="AR453" s="27"/>
      <c r="AS453" s="192"/>
      <c r="AT453" s="111"/>
      <c r="AU453" s="193"/>
      <c r="AV453" s="140"/>
      <c r="AW453" s="118"/>
      <c r="AX453" s="141"/>
      <c r="AY453" s="149"/>
      <c r="AZ453" s="121"/>
      <c r="BA453" s="150"/>
      <c r="BB453" s="158"/>
      <c r="BC453" s="124"/>
      <c r="BD453" s="159"/>
      <c r="BE453" s="167"/>
      <c r="BF453" s="85"/>
      <c r="BG453" s="168"/>
      <c r="BH453" s="175"/>
      <c r="BI453" s="127"/>
      <c r="BJ453" s="176"/>
      <c r="BK453" s="184"/>
      <c r="BL453" s="130"/>
      <c r="BM453" s="185"/>
      <c r="BN453" s="69"/>
      <c r="BO453" s="85"/>
      <c r="BP453" s="85"/>
      <c r="BQ453" s="85"/>
      <c r="BR453" s="85"/>
      <c r="BS453" s="85"/>
      <c r="BT453" s="85"/>
      <c r="BU453" s="87"/>
      <c r="BV453" s="87"/>
      <c r="BW453" s="87"/>
      <c r="BX453" s="87"/>
      <c r="BY453" s="87"/>
      <c r="BZ453" s="87"/>
      <c r="CA453" s="90"/>
      <c r="CB453" s="90"/>
      <c r="CC453" s="90"/>
      <c r="CD453" s="90"/>
      <c r="CE453" s="90"/>
      <c r="CF453" s="90"/>
      <c r="CG453" s="85"/>
      <c r="CH453" s="85"/>
      <c r="CI453" s="85"/>
      <c r="CJ453" s="85"/>
      <c r="CK453" s="85"/>
      <c r="CL453" s="87"/>
      <c r="CM453" s="87"/>
      <c r="CN453" s="87"/>
      <c r="CO453" s="87"/>
      <c r="CP453" s="90"/>
      <c r="CQ453" s="90"/>
      <c r="CR453" s="90"/>
      <c r="CS453" s="90"/>
      <c r="CT453" s="85"/>
      <c r="CU453" s="85"/>
      <c r="CV453" s="85"/>
      <c r="CW453" s="85"/>
      <c r="CX453" s="85"/>
      <c r="CY453" s="85"/>
      <c r="CZ453" s="85"/>
      <c r="DA453" s="33">
        <f t="shared" si="6"/>
        <v>0</v>
      </c>
    </row>
    <row r="454" spans="36:105" ht="19" x14ac:dyDescent="0.25">
      <c r="AJ454" s="63"/>
      <c r="AK454" s="20"/>
      <c r="AL454" s="21"/>
      <c r="AM454" s="22"/>
      <c r="AN454" s="23"/>
      <c r="AO454" s="24"/>
      <c r="AP454" s="25"/>
      <c r="AQ454" s="26"/>
      <c r="AR454" s="27"/>
      <c r="AS454" s="192"/>
      <c r="AT454" s="111"/>
      <c r="AU454" s="193"/>
      <c r="AV454" s="140"/>
      <c r="AW454" s="118"/>
      <c r="AX454" s="141"/>
      <c r="AY454" s="149"/>
      <c r="AZ454" s="121"/>
      <c r="BA454" s="150"/>
      <c r="BB454" s="158"/>
      <c r="BC454" s="124"/>
      <c r="BD454" s="159"/>
      <c r="BE454" s="167"/>
      <c r="BF454" s="85"/>
      <c r="BG454" s="168"/>
      <c r="BH454" s="175"/>
      <c r="BI454" s="127"/>
      <c r="BJ454" s="176"/>
      <c r="BK454" s="184"/>
      <c r="BL454" s="130"/>
      <c r="BM454" s="185"/>
      <c r="BN454" s="69"/>
      <c r="BO454" s="85"/>
      <c r="BP454" s="85"/>
      <c r="BQ454" s="85"/>
      <c r="BR454" s="85"/>
      <c r="BS454" s="85"/>
      <c r="BT454" s="85"/>
      <c r="BU454" s="87"/>
      <c r="BV454" s="87"/>
      <c r="BW454" s="87"/>
      <c r="BX454" s="87"/>
      <c r="BY454" s="87"/>
      <c r="BZ454" s="87"/>
      <c r="CA454" s="90"/>
      <c r="CB454" s="90"/>
      <c r="CC454" s="90"/>
      <c r="CD454" s="90"/>
      <c r="CE454" s="90"/>
      <c r="CF454" s="90"/>
      <c r="CG454" s="85"/>
      <c r="CH454" s="85"/>
      <c r="CI454" s="85"/>
      <c r="CJ454" s="85"/>
      <c r="CK454" s="85"/>
      <c r="CL454" s="87"/>
      <c r="CM454" s="87"/>
      <c r="CN454" s="87"/>
      <c r="CO454" s="87"/>
      <c r="CP454" s="90"/>
      <c r="CQ454" s="90"/>
      <c r="CR454" s="90"/>
      <c r="CS454" s="90"/>
      <c r="CT454" s="85"/>
      <c r="CU454" s="85"/>
      <c r="CV454" s="85"/>
      <c r="CW454" s="85"/>
      <c r="CX454" s="85"/>
      <c r="CY454" s="85"/>
      <c r="CZ454" s="85"/>
      <c r="DA454" s="33">
        <f t="shared" si="6"/>
        <v>0</v>
      </c>
    </row>
    <row r="455" spans="36:105" ht="19" x14ac:dyDescent="0.25">
      <c r="AJ455" s="63"/>
      <c r="AK455" s="20"/>
      <c r="AL455" s="21"/>
      <c r="AM455" s="22"/>
      <c r="AN455" s="23"/>
      <c r="AO455" s="24"/>
      <c r="AP455" s="25"/>
      <c r="AQ455" s="26"/>
      <c r="AR455" s="27"/>
      <c r="AS455" s="192"/>
      <c r="AT455" s="111"/>
      <c r="AU455" s="193"/>
      <c r="AV455" s="140"/>
      <c r="AW455" s="118"/>
      <c r="AX455" s="141"/>
      <c r="AY455" s="149"/>
      <c r="AZ455" s="121"/>
      <c r="BA455" s="150"/>
      <c r="BB455" s="158"/>
      <c r="BC455" s="124"/>
      <c r="BD455" s="159"/>
      <c r="BE455" s="167"/>
      <c r="BF455" s="85"/>
      <c r="BG455" s="168"/>
      <c r="BH455" s="175"/>
      <c r="BI455" s="127"/>
      <c r="BJ455" s="176"/>
      <c r="BK455" s="184"/>
      <c r="BL455" s="130"/>
      <c r="BM455" s="185"/>
      <c r="BN455" s="69"/>
      <c r="BO455" s="85"/>
      <c r="BP455" s="85"/>
      <c r="BQ455" s="85"/>
      <c r="BR455" s="85"/>
      <c r="BS455" s="85"/>
      <c r="BT455" s="85"/>
      <c r="BU455" s="87"/>
      <c r="BV455" s="87"/>
      <c r="BW455" s="87"/>
      <c r="BX455" s="87"/>
      <c r="BY455" s="87"/>
      <c r="BZ455" s="87"/>
      <c r="CA455" s="90"/>
      <c r="CB455" s="90"/>
      <c r="CC455" s="90"/>
      <c r="CD455" s="90"/>
      <c r="CE455" s="90"/>
      <c r="CF455" s="90"/>
      <c r="CG455" s="85"/>
      <c r="CH455" s="85"/>
      <c r="CI455" s="85"/>
      <c r="CJ455" s="85"/>
      <c r="CK455" s="85"/>
      <c r="CL455" s="87"/>
      <c r="CM455" s="87"/>
      <c r="CN455" s="87"/>
      <c r="CO455" s="87"/>
      <c r="CP455" s="90"/>
      <c r="CQ455" s="90"/>
      <c r="CR455" s="90"/>
      <c r="CS455" s="90"/>
      <c r="CT455" s="85"/>
      <c r="CU455" s="85"/>
      <c r="CV455" s="85"/>
      <c r="CW455" s="85"/>
      <c r="CX455" s="85"/>
      <c r="CY455" s="85"/>
      <c r="CZ455" s="85"/>
      <c r="DA455" s="33">
        <f t="shared" si="6"/>
        <v>0</v>
      </c>
    </row>
    <row r="456" spans="36:105" ht="19" x14ac:dyDescent="0.25">
      <c r="AJ456" s="63"/>
      <c r="AK456" s="20"/>
      <c r="AL456" s="21"/>
      <c r="AM456" s="22"/>
      <c r="AN456" s="23"/>
      <c r="AO456" s="24"/>
      <c r="AP456" s="25"/>
      <c r="AQ456" s="26"/>
      <c r="AR456" s="27"/>
      <c r="AS456" s="192"/>
      <c r="AT456" s="111"/>
      <c r="AU456" s="193"/>
      <c r="AV456" s="140"/>
      <c r="AW456" s="118"/>
      <c r="AX456" s="141"/>
      <c r="AY456" s="149"/>
      <c r="AZ456" s="121"/>
      <c r="BA456" s="150"/>
      <c r="BB456" s="158"/>
      <c r="BC456" s="124"/>
      <c r="BD456" s="159"/>
      <c r="BE456" s="167"/>
      <c r="BF456" s="85"/>
      <c r="BG456" s="168"/>
      <c r="BH456" s="175"/>
      <c r="BI456" s="127"/>
      <c r="BJ456" s="176"/>
      <c r="BK456" s="184"/>
      <c r="BL456" s="130"/>
      <c r="BM456" s="185"/>
      <c r="BN456" s="69"/>
      <c r="BO456" s="85"/>
      <c r="BP456" s="85"/>
      <c r="BQ456" s="85"/>
      <c r="BR456" s="85"/>
      <c r="BS456" s="85"/>
      <c r="BT456" s="85"/>
      <c r="BU456" s="87"/>
      <c r="BV456" s="87"/>
      <c r="BW456" s="87"/>
      <c r="BX456" s="87"/>
      <c r="BY456" s="87"/>
      <c r="BZ456" s="87"/>
      <c r="CA456" s="90"/>
      <c r="CB456" s="90"/>
      <c r="CC456" s="90"/>
      <c r="CD456" s="90"/>
      <c r="CE456" s="90"/>
      <c r="CF456" s="90"/>
      <c r="CG456" s="85"/>
      <c r="CH456" s="85"/>
      <c r="CI456" s="85"/>
      <c r="CJ456" s="85"/>
      <c r="CK456" s="85"/>
      <c r="CL456" s="87"/>
      <c r="CM456" s="87"/>
      <c r="CN456" s="87"/>
      <c r="CO456" s="87"/>
      <c r="CP456" s="90"/>
      <c r="CQ456" s="90"/>
      <c r="CR456" s="90"/>
      <c r="CS456" s="90"/>
      <c r="CT456" s="85"/>
      <c r="CU456" s="85"/>
      <c r="CV456" s="85"/>
      <c r="CW456" s="85"/>
      <c r="CX456" s="85"/>
      <c r="CY456" s="85"/>
      <c r="CZ456" s="85"/>
      <c r="DA456" s="33">
        <f t="shared" si="6"/>
        <v>0</v>
      </c>
    </row>
    <row r="457" spans="36:105" ht="19" x14ac:dyDescent="0.25">
      <c r="AJ457" s="63"/>
      <c r="AK457" s="20"/>
      <c r="AL457" s="21"/>
      <c r="AM457" s="22"/>
      <c r="AN457" s="23"/>
      <c r="AO457" s="24"/>
      <c r="AP457" s="25"/>
      <c r="AQ457" s="26"/>
      <c r="AR457" s="27"/>
      <c r="AS457" s="192"/>
      <c r="AT457" s="111"/>
      <c r="AU457" s="193"/>
      <c r="AV457" s="140"/>
      <c r="AW457" s="118"/>
      <c r="AX457" s="141"/>
      <c r="AY457" s="149"/>
      <c r="AZ457" s="121"/>
      <c r="BA457" s="150"/>
      <c r="BB457" s="158"/>
      <c r="BC457" s="124"/>
      <c r="BD457" s="159"/>
      <c r="BE457" s="167"/>
      <c r="BF457" s="85"/>
      <c r="BG457" s="168"/>
      <c r="BH457" s="175"/>
      <c r="BI457" s="127"/>
      <c r="BJ457" s="176"/>
      <c r="BK457" s="184"/>
      <c r="BL457" s="130"/>
      <c r="BM457" s="185"/>
      <c r="BN457" s="69"/>
      <c r="BO457" s="85"/>
      <c r="BP457" s="85"/>
      <c r="BQ457" s="85"/>
      <c r="BR457" s="85"/>
      <c r="BS457" s="85"/>
      <c r="BT457" s="85"/>
      <c r="BU457" s="87"/>
      <c r="BV457" s="87"/>
      <c r="BW457" s="87"/>
      <c r="BX457" s="87"/>
      <c r="BY457" s="87"/>
      <c r="BZ457" s="87"/>
      <c r="CA457" s="90"/>
      <c r="CB457" s="90"/>
      <c r="CC457" s="90"/>
      <c r="CD457" s="90"/>
      <c r="CE457" s="90"/>
      <c r="CF457" s="90"/>
      <c r="CG457" s="85"/>
      <c r="CH457" s="85"/>
      <c r="CI457" s="85"/>
      <c r="CJ457" s="85"/>
      <c r="CK457" s="85"/>
      <c r="CL457" s="87"/>
      <c r="CM457" s="87"/>
      <c r="CN457" s="87"/>
      <c r="CO457" s="87"/>
      <c r="CP457" s="90"/>
      <c r="CQ457" s="90"/>
      <c r="CR457" s="90"/>
      <c r="CS457" s="90"/>
      <c r="CT457" s="85"/>
      <c r="CU457" s="85"/>
      <c r="CV457" s="85"/>
      <c r="CW457" s="85"/>
      <c r="CX457" s="85"/>
      <c r="CY457" s="85"/>
      <c r="CZ457" s="85"/>
      <c r="DA457" s="33">
        <f t="shared" si="6"/>
        <v>0</v>
      </c>
    </row>
    <row r="458" spans="36:105" ht="19" x14ac:dyDescent="0.25">
      <c r="AJ458" s="63"/>
      <c r="AK458" s="20"/>
      <c r="AL458" s="21"/>
      <c r="AM458" s="22"/>
      <c r="AN458" s="23"/>
      <c r="AO458" s="24"/>
      <c r="AP458" s="25"/>
      <c r="AQ458" s="26"/>
      <c r="AR458" s="27"/>
      <c r="AS458" s="192"/>
      <c r="AT458" s="111"/>
      <c r="AU458" s="193"/>
      <c r="AV458" s="140"/>
      <c r="AW458" s="118"/>
      <c r="AX458" s="141"/>
      <c r="AY458" s="149"/>
      <c r="AZ458" s="121"/>
      <c r="BA458" s="150"/>
      <c r="BB458" s="158"/>
      <c r="BC458" s="124"/>
      <c r="BD458" s="159"/>
      <c r="BE458" s="167"/>
      <c r="BF458" s="85"/>
      <c r="BG458" s="168"/>
      <c r="BH458" s="175"/>
      <c r="BI458" s="127"/>
      <c r="BJ458" s="176"/>
      <c r="BK458" s="184"/>
      <c r="BL458" s="130"/>
      <c r="BM458" s="185"/>
      <c r="BN458" s="69"/>
      <c r="BO458" s="85"/>
      <c r="BP458" s="85"/>
      <c r="BQ458" s="85"/>
      <c r="BR458" s="85"/>
      <c r="BS458" s="85"/>
      <c r="BT458" s="85"/>
      <c r="BU458" s="87"/>
      <c r="BV458" s="87"/>
      <c r="BW458" s="87"/>
      <c r="BX458" s="87"/>
      <c r="BY458" s="87"/>
      <c r="BZ458" s="87"/>
      <c r="CA458" s="90"/>
      <c r="CB458" s="90"/>
      <c r="CC458" s="90"/>
      <c r="CD458" s="90"/>
      <c r="CE458" s="90"/>
      <c r="CF458" s="90"/>
      <c r="CG458" s="85"/>
      <c r="CH458" s="85"/>
      <c r="CI458" s="85"/>
      <c r="CJ458" s="85"/>
      <c r="CK458" s="85"/>
      <c r="CL458" s="87"/>
      <c r="CM458" s="87"/>
      <c r="CN458" s="87"/>
      <c r="CO458" s="87"/>
      <c r="CP458" s="90"/>
      <c r="CQ458" s="90"/>
      <c r="CR458" s="90"/>
      <c r="CS458" s="90"/>
      <c r="CT458" s="85"/>
      <c r="CU458" s="85"/>
      <c r="CV458" s="85"/>
      <c r="CW458" s="85"/>
      <c r="CX458" s="85"/>
      <c r="CY458" s="85"/>
      <c r="CZ458" s="85"/>
      <c r="DA458" s="33">
        <f t="shared" si="6"/>
        <v>0</v>
      </c>
    </row>
    <row r="459" spans="36:105" ht="19" x14ac:dyDescent="0.25">
      <c r="AJ459" s="63"/>
      <c r="AK459" s="20"/>
      <c r="AL459" s="21"/>
      <c r="AM459" s="22"/>
      <c r="AN459" s="23"/>
      <c r="AO459" s="24"/>
      <c r="AP459" s="25"/>
      <c r="AQ459" s="26"/>
      <c r="AR459" s="27"/>
      <c r="AS459" s="192"/>
      <c r="AT459" s="111"/>
      <c r="AU459" s="193"/>
      <c r="AV459" s="140"/>
      <c r="AW459" s="118"/>
      <c r="AX459" s="141"/>
      <c r="AY459" s="149"/>
      <c r="AZ459" s="121"/>
      <c r="BA459" s="150"/>
      <c r="BB459" s="158"/>
      <c r="BC459" s="124"/>
      <c r="BD459" s="159"/>
      <c r="BE459" s="167"/>
      <c r="BF459" s="85"/>
      <c r="BG459" s="168"/>
      <c r="BH459" s="175"/>
      <c r="BI459" s="127"/>
      <c r="BJ459" s="176"/>
      <c r="BK459" s="184"/>
      <c r="BL459" s="130"/>
      <c r="BM459" s="185"/>
      <c r="BN459" s="69"/>
      <c r="BO459" s="85"/>
      <c r="BP459" s="85"/>
      <c r="BQ459" s="85"/>
      <c r="BR459" s="85"/>
      <c r="BS459" s="85"/>
      <c r="BT459" s="85"/>
      <c r="BU459" s="87"/>
      <c r="BV459" s="87"/>
      <c r="BW459" s="87"/>
      <c r="BX459" s="87"/>
      <c r="BY459" s="87"/>
      <c r="BZ459" s="87"/>
      <c r="CA459" s="90"/>
      <c r="CB459" s="90"/>
      <c r="CC459" s="90"/>
      <c r="CD459" s="90"/>
      <c r="CE459" s="90"/>
      <c r="CF459" s="90"/>
      <c r="CG459" s="85"/>
      <c r="CH459" s="85"/>
      <c r="CI459" s="85"/>
      <c r="CJ459" s="85"/>
      <c r="CK459" s="85"/>
      <c r="CL459" s="87"/>
      <c r="CM459" s="87"/>
      <c r="CN459" s="87"/>
      <c r="CO459" s="87"/>
      <c r="CP459" s="90"/>
      <c r="CQ459" s="90"/>
      <c r="CR459" s="90"/>
      <c r="CS459" s="90"/>
      <c r="CT459" s="85"/>
      <c r="CU459" s="85"/>
      <c r="CV459" s="85"/>
      <c r="CW459" s="85"/>
      <c r="CX459" s="85"/>
      <c r="CY459" s="85"/>
      <c r="CZ459" s="85"/>
      <c r="DA459" s="33">
        <f t="shared" si="6"/>
        <v>0</v>
      </c>
    </row>
    <row r="460" spans="36:105" ht="19" x14ac:dyDescent="0.25">
      <c r="AJ460" s="63"/>
      <c r="AK460" s="20"/>
      <c r="AL460" s="21"/>
      <c r="AM460" s="22"/>
      <c r="AN460" s="23"/>
      <c r="AO460" s="24"/>
      <c r="AP460" s="25"/>
      <c r="AQ460" s="26"/>
      <c r="AR460" s="27"/>
      <c r="AS460" s="192"/>
      <c r="AT460" s="111"/>
      <c r="AU460" s="193"/>
      <c r="AV460" s="140"/>
      <c r="AW460" s="118"/>
      <c r="AX460" s="141"/>
      <c r="AY460" s="149"/>
      <c r="AZ460" s="121"/>
      <c r="BA460" s="150"/>
      <c r="BB460" s="158"/>
      <c r="BC460" s="124"/>
      <c r="BD460" s="159"/>
      <c r="BE460" s="167"/>
      <c r="BF460" s="85"/>
      <c r="BG460" s="168"/>
      <c r="BH460" s="175"/>
      <c r="BI460" s="127"/>
      <c r="BJ460" s="176"/>
      <c r="BK460" s="184"/>
      <c r="BL460" s="130"/>
      <c r="BM460" s="185"/>
      <c r="BN460" s="69"/>
      <c r="BO460" s="85"/>
      <c r="BP460" s="85"/>
      <c r="BQ460" s="85"/>
      <c r="BR460" s="85"/>
      <c r="BS460" s="85"/>
      <c r="BT460" s="85"/>
      <c r="BU460" s="87"/>
      <c r="BV460" s="87"/>
      <c r="BW460" s="87"/>
      <c r="BX460" s="87"/>
      <c r="BY460" s="87"/>
      <c r="BZ460" s="87"/>
      <c r="CA460" s="90"/>
      <c r="CB460" s="90"/>
      <c r="CC460" s="90"/>
      <c r="CD460" s="90"/>
      <c r="CE460" s="90"/>
      <c r="CF460" s="90"/>
      <c r="CG460" s="85"/>
      <c r="CH460" s="85"/>
      <c r="CI460" s="85"/>
      <c r="CJ460" s="85"/>
      <c r="CK460" s="85"/>
      <c r="CL460" s="87"/>
      <c r="CM460" s="87"/>
      <c r="CN460" s="87"/>
      <c r="CO460" s="87"/>
      <c r="CP460" s="90"/>
      <c r="CQ460" s="90"/>
      <c r="CR460" s="90"/>
      <c r="CS460" s="90"/>
      <c r="CT460" s="85"/>
      <c r="CU460" s="85"/>
      <c r="CV460" s="85"/>
      <c r="CW460" s="85"/>
      <c r="CX460" s="85"/>
      <c r="CY460" s="85"/>
      <c r="CZ460" s="85"/>
      <c r="DA460" s="33">
        <f t="shared" si="6"/>
        <v>0</v>
      </c>
    </row>
    <row r="461" spans="36:105" ht="19" x14ac:dyDescent="0.25">
      <c r="AJ461" s="63"/>
      <c r="AK461" s="20"/>
      <c r="AL461" s="21"/>
      <c r="AM461" s="22"/>
      <c r="AN461" s="23"/>
      <c r="AO461" s="24"/>
      <c r="AP461" s="25"/>
      <c r="AQ461" s="26"/>
      <c r="AR461" s="27"/>
      <c r="AS461" s="192"/>
      <c r="AT461" s="111"/>
      <c r="AU461" s="193"/>
      <c r="AV461" s="140"/>
      <c r="AW461" s="118"/>
      <c r="AX461" s="141"/>
      <c r="AY461" s="149"/>
      <c r="AZ461" s="121"/>
      <c r="BA461" s="150"/>
      <c r="BB461" s="158"/>
      <c r="BC461" s="124"/>
      <c r="BD461" s="159"/>
      <c r="BE461" s="167"/>
      <c r="BF461" s="85"/>
      <c r="BG461" s="168"/>
      <c r="BH461" s="175"/>
      <c r="BI461" s="127"/>
      <c r="BJ461" s="176"/>
      <c r="BK461" s="184"/>
      <c r="BL461" s="130"/>
      <c r="BM461" s="185"/>
      <c r="BN461" s="69"/>
      <c r="BO461" s="85"/>
      <c r="BP461" s="85"/>
      <c r="BQ461" s="85"/>
      <c r="BR461" s="85"/>
      <c r="BS461" s="85"/>
      <c r="BT461" s="85"/>
      <c r="BU461" s="87"/>
      <c r="BV461" s="87"/>
      <c r="BW461" s="87"/>
      <c r="BX461" s="87"/>
      <c r="BY461" s="87"/>
      <c r="BZ461" s="87"/>
      <c r="CA461" s="90"/>
      <c r="CB461" s="90"/>
      <c r="CC461" s="90"/>
      <c r="CD461" s="90"/>
      <c r="CE461" s="90"/>
      <c r="CF461" s="90"/>
      <c r="CG461" s="85"/>
      <c r="CH461" s="85"/>
      <c r="CI461" s="85"/>
      <c r="CJ461" s="85"/>
      <c r="CK461" s="85"/>
      <c r="CL461" s="87"/>
      <c r="CM461" s="87"/>
      <c r="CN461" s="87"/>
      <c r="CO461" s="87"/>
      <c r="CP461" s="90"/>
      <c r="CQ461" s="90"/>
      <c r="CR461" s="90"/>
      <c r="CS461" s="90"/>
      <c r="CT461" s="85"/>
      <c r="CU461" s="85"/>
      <c r="CV461" s="85"/>
      <c r="CW461" s="85"/>
      <c r="CX461" s="85"/>
      <c r="CY461" s="85"/>
      <c r="CZ461" s="85"/>
      <c r="DA461" s="33">
        <f t="shared" si="6"/>
        <v>0</v>
      </c>
    </row>
    <row r="462" spans="36:105" ht="19" x14ac:dyDescent="0.25">
      <c r="AJ462" s="63"/>
      <c r="AK462" s="20"/>
      <c r="AL462" s="21"/>
      <c r="AM462" s="22"/>
      <c r="AN462" s="23"/>
      <c r="AO462" s="24"/>
      <c r="AP462" s="25"/>
      <c r="AQ462" s="26"/>
      <c r="AR462" s="27"/>
      <c r="AS462" s="192"/>
      <c r="AT462" s="111"/>
      <c r="AU462" s="193"/>
      <c r="AV462" s="140"/>
      <c r="AW462" s="118"/>
      <c r="AX462" s="141"/>
      <c r="AY462" s="149"/>
      <c r="AZ462" s="121"/>
      <c r="BA462" s="150"/>
      <c r="BB462" s="158"/>
      <c r="BC462" s="124"/>
      <c r="BD462" s="159"/>
      <c r="BE462" s="167"/>
      <c r="BF462" s="85"/>
      <c r="BG462" s="168"/>
      <c r="BH462" s="175"/>
      <c r="BI462" s="127"/>
      <c r="BJ462" s="176"/>
      <c r="BK462" s="184"/>
      <c r="BL462" s="130"/>
      <c r="BM462" s="185"/>
      <c r="BN462" s="69"/>
      <c r="BO462" s="85"/>
      <c r="BP462" s="85"/>
      <c r="BQ462" s="85"/>
      <c r="BR462" s="85"/>
      <c r="BS462" s="85"/>
      <c r="BT462" s="85"/>
      <c r="BU462" s="87"/>
      <c r="BV462" s="87"/>
      <c r="BW462" s="87"/>
      <c r="BX462" s="87"/>
      <c r="BY462" s="87"/>
      <c r="BZ462" s="87"/>
      <c r="CA462" s="90"/>
      <c r="CB462" s="90"/>
      <c r="CC462" s="90"/>
      <c r="CD462" s="90"/>
      <c r="CE462" s="90"/>
      <c r="CF462" s="90"/>
      <c r="CG462" s="85"/>
      <c r="CH462" s="85"/>
      <c r="CI462" s="85"/>
      <c r="CJ462" s="85"/>
      <c r="CK462" s="85"/>
      <c r="CL462" s="87"/>
      <c r="CM462" s="87"/>
      <c r="CN462" s="87"/>
      <c r="CO462" s="87"/>
      <c r="CP462" s="90"/>
      <c r="CQ462" s="90"/>
      <c r="CR462" s="90"/>
      <c r="CS462" s="90"/>
      <c r="CT462" s="85"/>
      <c r="CU462" s="85"/>
      <c r="CV462" s="85"/>
      <c r="CW462" s="85"/>
      <c r="CX462" s="85"/>
      <c r="CY462" s="85"/>
      <c r="CZ462" s="85"/>
      <c r="DA462" s="33">
        <f t="shared" si="6"/>
        <v>0</v>
      </c>
    </row>
    <row r="463" spans="36:105" ht="19" x14ac:dyDescent="0.25">
      <c r="AJ463" s="63"/>
      <c r="AK463" s="20"/>
      <c r="AL463" s="21"/>
      <c r="AM463" s="22"/>
      <c r="AN463" s="23"/>
      <c r="AO463" s="24"/>
      <c r="AP463" s="25"/>
      <c r="AQ463" s="26"/>
      <c r="AR463" s="27"/>
      <c r="AS463" s="192"/>
      <c r="AT463" s="111"/>
      <c r="AU463" s="193"/>
      <c r="AV463" s="140"/>
      <c r="AW463" s="118"/>
      <c r="AX463" s="141"/>
      <c r="AY463" s="149"/>
      <c r="AZ463" s="121"/>
      <c r="BA463" s="150"/>
      <c r="BB463" s="158"/>
      <c r="BC463" s="124"/>
      <c r="BD463" s="159"/>
      <c r="BE463" s="167"/>
      <c r="BF463" s="85"/>
      <c r="BG463" s="168"/>
      <c r="BH463" s="175"/>
      <c r="BI463" s="127"/>
      <c r="BJ463" s="176"/>
      <c r="BK463" s="184"/>
      <c r="BL463" s="130"/>
      <c r="BM463" s="185"/>
      <c r="BN463" s="69"/>
      <c r="BO463" s="85"/>
      <c r="BP463" s="85"/>
      <c r="BQ463" s="85"/>
      <c r="BR463" s="85"/>
      <c r="BS463" s="85"/>
      <c r="BT463" s="85"/>
      <c r="BU463" s="87"/>
      <c r="BV463" s="87"/>
      <c r="BW463" s="87"/>
      <c r="BX463" s="87"/>
      <c r="BY463" s="87"/>
      <c r="BZ463" s="87"/>
      <c r="CA463" s="90"/>
      <c r="CB463" s="90"/>
      <c r="CC463" s="90"/>
      <c r="CD463" s="90"/>
      <c r="CE463" s="90"/>
      <c r="CF463" s="90"/>
      <c r="CG463" s="85"/>
      <c r="CH463" s="85"/>
      <c r="CI463" s="85"/>
      <c r="CJ463" s="85"/>
      <c r="CK463" s="85"/>
      <c r="CL463" s="87"/>
      <c r="CM463" s="87"/>
      <c r="CN463" s="87"/>
      <c r="CO463" s="87"/>
      <c r="CP463" s="90"/>
      <c r="CQ463" s="90"/>
      <c r="CR463" s="90"/>
      <c r="CS463" s="90"/>
      <c r="CT463" s="85"/>
      <c r="CU463" s="85"/>
      <c r="CV463" s="85"/>
      <c r="CW463" s="85"/>
      <c r="CX463" s="85"/>
      <c r="CY463" s="85"/>
      <c r="CZ463" s="85"/>
      <c r="DA463" s="33">
        <f t="shared" si="6"/>
        <v>0</v>
      </c>
    </row>
    <row r="464" spans="36:105" ht="19" x14ac:dyDescent="0.25">
      <c r="AJ464" s="63"/>
      <c r="AK464" s="20"/>
      <c r="AL464" s="21"/>
      <c r="AM464" s="22"/>
      <c r="AN464" s="23"/>
      <c r="AO464" s="24"/>
      <c r="AP464" s="25"/>
      <c r="AQ464" s="26"/>
      <c r="AR464" s="27"/>
      <c r="AS464" s="192"/>
      <c r="AT464" s="111"/>
      <c r="AU464" s="193"/>
      <c r="AV464" s="140"/>
      <c r="AW464" s="118"/>
      <c r="AX464" s="141"/>
      <c r="AY464" s="149"/>
      <c r="AZ464" s="121"/>
      <c r="BA464" s="150"/>
      <c r="BB464" s="158"/>
      <c r="BC464" s="124"/>
      <c r="BD464" s="159"/>
      <c r="BE464" s="167"/>
      <c r="BF464" s="85"/>
      <c r="BG464" s="168"/>
      <c r="BH464" s="175"/>
      <c r="BI464" s="127"/>
      <c r="BJ464" s="176"/>
      <c r="BK464" s="184"/>
      <c r="BL464" s="130"/>
      <c r="BM464" s="185"/>
      <c r="BN464" s="69"/>
      <c r="BO464" s="85"/>
      <c r="BP464" s="85"/>
      <c r="BQ464" s="85"/>
      <c r="BR464" s="85"/>
      <c r="BS464" s="85"/>
      <c r="BT464" s="85"/>
      <c r="BU464" s="87"/>
      <c r="BV464" s="87"/>
      <c r="BW464" s="87"/>
      <c r="BX464" s="87"/>
      <c r="BY464" s="87"/>
      <c r="BZ464" s="87"/>
      <c r="CA464" s="90"/>
      <c r="CB464" s="90"/>
      <c r="CC464" s="90"/>
      <c r="CD464" s="90"/>
      <c r="CE464" s="90"/>
      <c r="CF464" s="90"/>
      <c r="CG464" s="85"/>
      <c r="CH464" s="85"/>
      <c r="CI464" s="85"/>
      <c r="CJ464" s="85"/>
      <c r="CK464" s="85"/>
      <c r="CL464" s="87"/>
      <c r="CM464" s="87"/>
      <c r="CN464" s="87"/>
      <c r="CO464" s="87"/>
      <c r="CP464" s="90"/>
      <c r="CQ464" s="90"/>
      <c r="CR464" s="90"/>
      <c r="CS464" s="90"/>
      <c r="CT464" s="85"/>
      <c r="CU464" s="85"/>
      <c r="CV464" s="85"/>
      <c r="CW464" s="85"/>
      <c r="CX464" s="85"/>
      <c r="CY464" s="85"/>
      <c r="CZ464" s="85"/>
      <c r="DA464" s="33">
        <f t="shared" si="6"/>
        <v>0</v>
      </c>
    </row>
    <row r="465" spans="36:105" ht="19" x14ac:dyDescent="0.25">
      <c r="AJ465" s="63"/>
      <c r="AK465" s="20"/>
      <c r="AL465" s="21"/>
      <c r="AM465" s="22"/>
      <c r="AN465" s="23"/>
      <c r="AO465" s="24"/>
      <c r="AP465" s="25"/>
      <c r="AQ465" s="26"/>
      <c r="AR465" s="27"/>
      <c r="AS465" s="192"/>
      <c r="AT465" s="111"/>
      <c r="AU465" s="193"/>
      <c r="AV465" s="140"/>
      <c r="AW465" s="118"/>
      <c r="AX465" s="141"/>
      <c r="AY465" s="149"/>
      <c r="AZ465" s="121"/>
      <c r="BA465" s="150"/>
      <c r="BB465" s="158"/>
      <c r="BC465" s="124"/>
      <c r="BD465" s="159"/>
      <c r="BE465" s="167"/>
      <c r="BF465" s="85"/>
      <c r="BG465" s="168"/>
      <c r="BH465" s="175"/>
      <c r="BI465" s="127"/>
      <c r="BJ465" s="176"/>
      <c r="BK465" s="184"/>
      <c r="BL465" s="130"/>
      <c r="BM465" s="185"/>
      <c r="BN465" s="69"/>
      <c r="BO465" s="85"/>
      <c r="BP465" s="85"/>
      <c r="BQ465" s="85"/>
      <c r="BR465" s="85"/>
      <c r="BS465" s="85"/>
      <c r="BT465" s="85"/>
      <c r="BU465" s="87"/>
      <c r="BV465" s="87"/>
      <c r="BW465" s="87"/>
      <c r="BX465" s="87"/>
      <c r="BY465" s="87"/>
      <c r="BZ465" s="87"/>
      <c r="CA465" s="90"/>
      <c r="CB465" s="90"/>
      <c r="CC465" s="90"/>
      <c r="CD465" s="90"/>
      <c r="CE465" s="90"/>
      <c r="CF465" s="90"/>
      <c r="CG465" s="85"/>
      <c r="CH465" s="85"/>
      <c r="CI465" s="85"/>
      <c r="CJ465" s="85"/>
      <c r="CK465" s="85"/>
      <c r="CL465" s="87"/>
      <c r="CM465" s="87"/>
      <c r="CN465" s="87"/>
      <c r="CO465" s="87"/>
      <c r="CP465" s="90"/>
      <c r="CQ465" s="90"/>
      <c r="CR465" s="90"/>
      <c r="CS465" s="90"/>
      <c r="CT465" s="85"/>
      <c r="CU465" s="85"/>
      <c r="CV465" s="85"/>
      <c r="CW465" s="85"/>
      <c r="CX465" s="85"/>
      <c r="CY465" s="85"/>
      <c r="CZ465" s="85"/>
      <c r="DA465" s="33">
        <f t="shared" si="6"/>
        <v>0</v>
      </c>
    </row>
    <row r="466" spans="36:105" ht="19" x14ac:dyDescent="0.25">
      <c r="AJ466" s="63"/>
      <c r="AK466" s="20"/>
      <c r="AL466" s="21"/>
      <c r="AM466" s="22"/>
      <c r="AN466" s="23"/>
      <c r="AO466" s="24"/>
      <c r="AP466" s="25"/>
      <c r="AQ466" s="26"/>
      <c r="AR466" s="27"/>
      <c r="AS466" s="192"/>
      <c r="AT466" s="111"/>
      <c r="AU466" s="193"/>
      <c r="AV466" s="140"/>
      <c r="AW466" s="118"/>
      <c r="AX466" s="141"/>
      <c r="AY466" s="149"/>
      <c r="AZ466" s="121"/>
      <c r="BA466" s="150"/>
      <c r="BB466" s="158"/>
      <c r="BC466" s="124"/>
      <c r="BD466" s="159"/>
      <c r="BE466" s="167"/>
      <c r="BF466" s="85"/>
      <c r="BG466" s="168"/>
      <c r="BH466" s="175"/>
      <c r="BI466" s="127"/>
      <c r="BJ466" s="176"/>
      <c r="BK466" s="184"/>
      <c r="BL466" s="130"/>
      <c r="BM466" s="185"/>
      <c r="BN466" s="69"/>
      <c r="BO466" s="85"/>
      <c r="BP466" s="85"/>
      <c r="BQ466" s="85"/>
      <c r="BR466" s="85"/>
      <c r="BS466" s="85"/>
      <c r="BT466" s="85"/>
      <c r="BU466" s="87"/>
      <c r="BV466" s="87"/>
      <c r="BW466" s="87"/>
      <c r="BX466" s="87"/>
      <c r="BY466" s="87"/>
      <c r="BZ466" s="87"/>
      <c r="CA466" s="90"/>
      <c r="CB466" s="90"/>
      <c r="CC466" s="90"/>
      <c r="CD466" s="90"/>
      <c r="CE466" s="90"/>
      <c r="CF466" s="90"/>
      <c r="CG466" s="85"/>
      <c r="CH466" s="85"/>
      <c r="CI466" s="85"/>
      <c r="CJ466" s="85"/>
      <c r="CK466" s="85"/>
      <c r="CL466" s="87"/>
      <c r="CM466" s="87"/>
      <c r="CN466" s="87"/>
      <c r="CO466" s="87"/>
      <c r="CP466" s="90"/>
      <c r="CQ466" s="90"/>
      <c r="CR466" s="90"/>
      <c r="CS466" s="90"/>
      <c r="CT466" s="85"/>
      <c r="CU466" s="85"/>
      <c r="CV466" s="85"/>
      <c r="CW466" s="85"/>
      <c r="CX466" s="85"/>
      <c r="CY466" s="85"/>
      <c r="CZ466" s="85"/>
      <c r="DA466" s="33">
        <f t="shared" si="6"/>
        <v>0</v>
      </c>
    </row>
    <row r="467" spans="36:105" ht="19" x14ac:dyDescent="0.25">
      <c r="AJ467" s="63"/>
      <c r="AK467" s="20"/>
      <c r="AL467" s="21"/>
      <c r="AM467" s="22"/>
      <c r="AN467" s="23"/>
      <c r="AO467" s="24"/>
      <c r="AP467" s="25"/>
      <c r="AQ467" s="26"/>
      <c r="AR467" s="27"/>
      <c r="AS467" s="192"/>
      <c r="AT467" s="111"/>
      <c r="AU467" s="193"/>
      <c r="AV467" s="140"/>
      <c r="AW467" s="118"/>
      <c r="AX467" s="141"/>
      <c r="AY467" s="149"/>
      <c r="AZ467" s="121"/>
      <c r="BA467" s="150"/>
      <c r="BB467" s="158"/>
      <c r="BC467" s="124"/>
      <c r="BD467" s="159"/>
      <c r="BE467" s="167"/>
      <c r="BF467" s="85"/>
      <c r="BG467" s="168"/>
      <c r="BH467" s="175"/>
      <c r="BI467" s="127"/>
      <c r="BJ467" s="176"/>
      <c r="BK467" s="184"/>
      <c r="BL467" s="130"/>
      <c r="BM467" s="185"/>
      <c r="BN467" s="69"/>
      <c r="BO467" s="85"/>
      <c r="BP467" s="85"/>
      <c r="BQ467" s="85"/>
      <c r="BR467" s="85"/>
      <c r="BS467" s="85"/>
      <c r="BT467" s="85"/>
      <c r="BU467" s="87"/>
      <c r="BV467" s="87"/>
      <c r="BW467" s="87"/>
      <c r="BX467" s="87"/>
      <c r="BY467" s="87"/>
      <c r="BZ467" s="87"/>
      <c r="CA467" s="90"/>
      <c r="CB467" s="90"/>
      <c r="CC467" s="90"/>
      <c r="CD467" s="90"/>
      <c r="CE467" s="90"/>
      <c r="CF467" s="90"/>
      <c r="CG467" s="85"/>
      <c r="CH467" s="85"/>
      <c r="CI467" s="85"/>
      <c r="CJ467" s="85"/>
      <c r="CK467" s="85"/>
      <c r="CL467" s="87"/>
      <c r="CM467" s="87"/>
      <c r="CN467" s="87"/>
      <c r="CO467" s="87"/>
      <c r="CP467" s="90"/>
      <c r="CQ467" s="90"/>
      <c r="CR467" s="90"/>
      <c r="CS467" s="90"/>
      <c r="CT467" s="85"/>
      <c r="CU467" s="85"/>
      <c r="CV467" s="85"/>
      <c r="CW467" s="85"/>
      <c r="CX467" s="85"/>
      <c r="CY467" s="85"/>
      <c r="CZ467" s="85"/>
      <c r="DA467" s="33">
        <f t="shared" si="6"/>
        <v>0</v>
      </c>
    </row>
    <row r="468" spans="36:105" ht="19" x14ac:dyDescent="0.25">
      <c r="AJ468" s="63"/>
      <c r="AK468" s="20"/>
      <c r="AL468" s="21"/>
      <c r="AM468" s="22"/>
      <c r="AN468" s="23"/>
      <c r="AO468" s="24"/>
      <c r="AP468" s="25"/>
      <c r="AQ468" s="26"/>
      <c r="AR468" s="27"/>
      <c r="AS468" s="192"/>
      <c r="AT468" s="111"/>
      <c r="AU468" s="193"/>
      <c r="AV468" s="140"/>
      <c r="AW468" s="118"/>
      <c r="AX468" s="141"/>
      <c r="AY468" s="149"/>
      <c r="AZ468" s="121"/>
      <c r="BA468" s="150"/>
      <c r="BB468" s="158"/>
      <c r="BC468" s="124"/>
      <c r="BD468" s="159"/>
      <c r="BE468" s="167"/>
      <c r="BF468" s="85"/>
      <c r="BG468" s="168"/>
      <c r="BH468" s="175"/>
      <c r="BI468" s="127"/>
      <c r="BJ468" s="176"/>
      <c r="BK468" s="184"/>
      <c r="BL468" s="130"/>
      <c r="BM468" s="185"/>
      <c r="BN468" s="69"/>
      <c r="BO468" s="85"/>
      <c r="BP468" s="85"/>
      <c r="BQ468" s="85"/>
      <c r="BR468" s="85"/>
      <c r="BS468" s="85"/>
      <c r="BT468" s="85"/>
      <c r="BU468" s="87"/>
      <c r="BV468" s="87"/>
      <c r="BW468" s="87"/>
      <c r="BX468" s="87"/>
      <c r="BY468" s="87"/>
      <c r="BZ468" s="87"/>
      <c r="CA468" s="90"/>
      <c r="CB468" s="90"/>
      <c r="CC468" s="90"/>
      <c r="CD468" s="90"/>
      <c r="CE468" s="90"/>
      <c r="CF468" s="90"/>
      <c r="CG468" s="85"/>
      <c r="CH468" s="85"/>
      <c r="CI468" s="85"/>
      <c r="CJ468" s="85"/>
      <c r="CK468" s="85"/>
      <c r="CL468" s="87"/>
      <c r="CM468" s="87"/>
      <c r="CN468" s="87"/>
      <c r="CO468" s="87"/>
      <c r="CP468" s="90"/>
      <c r="CQ468" s="90"/>
      <c r="CR468" s="90"/>
      <c r="CS468" s="90"/>
      <c r="CT468" s="85"/>
      <c r="CU468" s="85"/>
      <c r="CV468" s="85"/>
      <c r="CW468" s="85"/>
      <c r="CX468" s="85"/>
      <c r="CY468" s="85"/>
      <c r="CZ468" s="85"/>
      <c r="DA468" s="33">
        <f t="shared" si="6"/>
        <v>0</v>
      </c>
    </row>
    <row r="469" spans="36:105" ht="19" x14ac:dyDescent="0.25">
      <c r="AJ469" s="63"/>
      <c r="AK469" s="20"/>
      <c r="AL469" s="21"/>
      <c r="AM469" s="22"/>
      <c r="AN469" s="23"/>
      <c r="AO469" s="24"/>
      <c r="AP469" s="25"/>
      <c r="AQ469" s="26"/>
      <c r="AR469" s="27"/>
      <c r="AS469" s="192"/>
      <c r="AT469" s="111"/>
      <c r="AU469" s="193"/>
      <c r="AV469" s="140"/>
      <c r="AW469" s="118"/>
      <c r="AX469" s="141"/>
      <c r="AY469" s="149"/>
      <c r="AZ469" s="121"/>
      <c r="BA469" s="150"/>
      <c r="BB469" s="158"/>
      <c r="BC469" s="124"/>
      <c r="BD469" s="159"/>
      <c r="BE469" s="167"/>
      <c r="BF469" s="85"/>
      <c r="BG469" s="168"/>
      <c r="BH469" s="175"/>
      <c r="BI469" s="127"/>
      <c r="BJ469" s="176"/>
      <c r="BK469" s="184"/>
      <c r="BL469" s="130"/>
      <c r="BM469" s="185"/>
      <c r="BN469" s="69"/>
      <c r="BO469" s="85"/>
      <c r="BP469" s="85"/>
      <c r="BQ469" s="85"/>
      <c r="BR469" s="85"/>
      <c r="BS469" s="85"/>
      <c r="BT469" s="85"/>
      <c r="BU469" s="87"/>
      <c r="BV469" s="87"/>
      <c r="BW469" s="87"/>
      <c r="BX469" s="87"/>
      <c r="BY469" s="87"/>
      <c r="BZ469" s="87"/>
      <c r="CA469" s="90"/>
      <c r="CB469" s="90"/>
      <c r="CC469" s="90"/>
      <c r="CD469" s="90"/>
      <c r="CE469" s="90"/>
      <c r="CF469" s="90"/>
      <c r="CG469" s="85"/>
      <c r="CH469" s="85"/>
      <c r="CI469" s="85"/>
      <c r="CJ469" s="85"/>
      <c r="CK469" s="85"/>
      <c r="CL469" s="87"/>
      <c r="CM469" s="87"/>
      <c r="CN469" s="87"/>
      <c r="CO469" s="87"/>
      <c r="CP469" s="90"/>
      <c r="CQ469" s="90"/>
      <c r="CR469" s="90"/>
      <c r="CS469" s="90"/>
      <c r="CT469" s="85"/>
      <c r="CU469" s="85"/>
      <c r="CV469" s="85"/>
      <c r="CW469" s="85"/>
      <c r="CX469" s="85"/>
      <c r="CY469" s="85"/>
      <c r="CZ469" s="85"/>
      <c r="DA469" s="33">
        <f t="shared" si="6"/>
        <v>0</v>
      </c>
    </row>
    <row r="470" spans="36:105" ht="19" x14ac:dyDescent="0.25">
      <c r="AJ470" s="63"/>
      <c r="AK470" s="20"/>
      <c r="AL470" s="21"/>
      <c r="AM470" s="22"/>
      <c r="AN470" s="23"/>
      <c r="AO470" s="24"/>
      <c r="AP470" s="25"/>
      <c r="AQ470" s="26"/>
      <c r="AR470" s="27"/>
      <c r="AS470" s="192"/>
      <c r="AT470" s="111"/>
      <c r="AU470" s="193"/>
      <c r="AV470" s="140"/>
      <c r="AW470" s="118"/>
      <c r="AX470" s="141"/>
      <c r="AY470" s="149"/>
      <c r="AZ470" s="121"/>
      <c r="BA470" s="150"/>
      <c r="BB470" s="158"/>
      <c r="BC470" s="124"/>
      <c r="BD470" s="159"/>
      <c r="BE470" s="167"/>
      <c r="BF470" s="85"/>
      <c r="BG470" s="168"/>
      <c r="BH470" s="175"/>
      <c r="BI470" s="127"/>
      <c r="BJ470" s="176"/>
      <c r="BK470" s="184"/>
      <c r="BL470" s="130"/>
      <c r="BM470" s="185"/>
      <c r="BN470" s="69"/>
      <c r="BO470" s="85"/>
      <c r="BP470" s="85"/>
      <c r="BQ470" s="85"/>
      <c r="BR470" s="85"/>
      <c r="BS470" s="85"/>
      <c r="BT470" s="85"/>
      <c r="BU470" s="87"/>
      <c r="BV470" s="87"/>
      <c r="BW470" s="87"/>
      <c r="BX470" s="87"/>
      <c r="BY470" s="87"/>
      <c r="BZ470" s="87"/>
      <c r="CA470" s="90"/>
      <c r="CB470" s="90"/>
      <c r="CC470" s="90"/>
      <c r="CD470" s="90"/>
      <c r="CE470" s="90"/>
      <c r="CF470" s="90"/>
      <c r="CG470" s="85"/>
      <c r="CH470" s="85"/>
      <c r="CI470" s="85"/>
      <c r="CJ470" s="85"/>
      <c r="CK470" s="85"/>
      <c r="CL470" s="87"/>
      <c r="CM470" s="87"/>
      <c r="CN470" s="87"/>
      <c r="CO470" s="87"/>
      <c r="CP470" s="90"/>
      <c r="CQ470" s="90"/>
      <c r="CR470" s="90"/>
      <c r="CS470" s="90"/>
      <c r="CT470" s="85"/>
      <c r="CU470" s="85"/>
      <c r="CV470" s="85"/>
      <c r="CW470" s="85"/>
      <c r="CX470" s="85"/>
      <c r="CY470" s="85"/>
      <c r="CZ470" s="85"/>
      <c r="DA470" s="33">
        <f t="shared" si="6"/>
        <v>0</v>
      </c>
    </row>
    <row r="471" spans="36:105" ht="19" x14ac:dyDescent="0.25">
      <c r="AJ471" s="63"/>
      <c r="AK471" s="20"/>
      <c r="AL471" s="21"/>
      <c r="AM471" s="22"/>
      <c r="AN471" s="23"/>
      <c r="AO471" s="24"/>
      <c r="AP471" s="25"/>
      <c r="AQ471" s="26"/>
      <c r="AR471" s="27"/>
      <c r="AS471" s="192"/>
      <c r="AT471" s="111"/>
      <c r="AU471" s="193"/>
      <c r="AV471" s="140"/>
      <c r="AW471" s="118"/>
      <c r="AX471" s="141"/>
      <c r="AY471" s="149"/>
      <c r="AZ471" s="121"/>
      <c r="BA471" s="150"/>
      <c r="BB471" s="158"/>
      <c r="BC471" s="124"/>
      <c r="BD471" s="159"/>
      <c r="BE471" s="167"/>
      <c r="BF471" s="85"/>
      <c r="BG471" s="168"/>
      <c r="BH471" s="175"/>
      <c r="BI471" s="127"/>
      <c r="BJ471" s="176"/>
      <c r="BK471" s="184"/>
      <c r="BL471" s="130"/>
      <c r="BM471" s="185"/>
      <c r="BN471" s="69"/>
      <c r="BO471" s="85"/>
      <c r="BP471" s="85"/>
      <c r="BQ471" s="85"/>
      <c r="BR471" s="85"/>
      <c r="BS471" s="85"/>
      <c r="BT471" s="85"/>
      <c r="BU471" s="87"/>
      <c r="BV471" s="87"/>
      <c r="BW471" s="87"/>
      <c r="BX471" s="87"/>
      <c r="BY471" s="87"/>
      <c r="BZ471" s="87"/>
      <c r="CA471" s="90"/>
      <c r="CB471" s="90"/>
      <c r="CC471" s="90"/>
      <c r="CD471" s="90"/>
      <c r="CE471" s="90"/>
      <c r="CF471" s="90"/>
      <c r="CG471" s="85"/>
      <c r="CH471" s="85"/>
      <c r="CI471" s="85"/>
      <c r="CJ471" s="85"/>
      <c r="CK471" s="85"/>
      <c r="CL471" s="87"/>
      <c r="CM471" s="87"/>
      <c r="CN471" s="87"/>
      <c r="CO471" s="87"/>
      <c r="CP471" s="90"/>
      <c r="CQ471" s="90"/>
      <c r="CR471" s="90"/>
      <c r="CS471" s="90"/>
      <c r="CT471" s="85"/>
      <c r="CU471" s="85"/>
      <c r="CV471" s="85"/>
      <c r="CW471" s="85"/>
      <c r="CX471" s="85"/>
      <c r="CY471" s="85"/>
      <c r="CZ471" s="85"/>
      <c r="DA471" s="33">
        <f t="shared" si="6"/>
        <v>0</v>
      </c>
    </row>
    <row r="472" spans="36:105" ht="19" x14ac:dyDescent="0.25">
      <c r="AJ472" s="63"/>
      <c r="AK472" s="20"/>
      <c r="AL472" s="21"/>
      <c r="AM472" s="22"/>
      <c r="AN472" s="23"/>
      <c r="AO472" s="24"/>
      <c r="AP472" s="25"/>
      <c r="AQ472" s="26"/>
      <c r="AR472" s="27"/>
      <c r="AS472" s="192"/>
      <c r="AT472" s="111"/>
      <c r="AU472" s="193"/>
      <c r="AV472" s="140"/>
      <c r="AW472" s="118"/>
      <c r="AX472" s="141"/>
      <c r="AY472" s="149"/>
      <c r="AZ472" s="121"/>
      <c r="BA472" s="150"/>
      <c r="BB472" s="158"/>
      <c r="BC472" s="124"/>
      <c r="BD472" s="159"/>
      <c r="BE472" s="167"/>
      <c r="BF472" s="85"/>
      <c r="BG472" s="168"/>
      <c r="BH472" s="175"/>
      <c r="BI472" s="127"/>
      <c r="BJ472" s="176"/>
      <c r="BK472" s="184"/>
      <c r="BL472" s="130"/>
      <c r="BM472" s="185"/>
      <c r="BN472" s="69"/>
      <c r="BO472" s="85"/>
      <c r="BP472" s="85"/>
      <c r="BQ472" s="85"/>
      <c r="BR472" s="85"/>
      <c r="BS472" s="85"/>
      <c r="BT472" s="85"/>
      <c r="BU472" s="87"/>
      <c r="BV472" s="87"/>
      <c r="BW472" s="87"/>
      <c r="BX472" s="87"/>
      <c r="BY472" s="87"/>
      <c r="BZ472" s="87"/>
      <c r="CA472" s="90"/>
      <c r="CB472" s="90"/>
      <c r="CC472" s="90"/>
      <c r="CD472" s="90"/>
      <c r="CE472" s="90"/>
      <c r="CF472" s="90"/>
      <c r="CG472" s="85"/>
      <c r="CH472" s="85"/>
      <c r="CI472" s="85"/>
      <c r="CJ472" s="85"/>
      <c r="CK472" s="85"/>
      <c r="CL472" s="87"/>
      <c r="CM472" s="87"/>
      <c r="CN472" s="87"/>
      <c r="CO472" s="87"/>
      <c r="CP472" s="90"/>
      <c r="CQ472" s="90"/>
      <c r="CR472" s="90"/>
      <c r="CS472" s="90"/>
      <c r="CT472" s="85"/>
      <c r="CU472" s="85"/>
      <c r="CV472" s="85"/>
      <c r="CW472" s="85"/>
      <c r="CX472" s="85"/>
      <c r="CY472" s="85"/>
      <c r="CZ472" s="85"/>
      <c r="DA472" s="33">
        <f t="shared" si="6"/>
        <v>0</v>
      </c>
    </row>
    <row r="473" spans="36:105" ht="19" x14ac:dyDescent="0.25">
      <c r="AJ473" s="63"/>
      <c r="AK473" s="20"/>
      <c r="AL473" s="21"/>
      <c r="AM473" s="22"/>
      <c r="AN473" s="23"/>
      <c r="AO473" s="24"/>
      <c r="AP473" s="25"/>
      <c r="AQ473" s="26"/>
      <c r="AR473" s="27"/>
      <c r="AS473" s="192"/>
      <c r="AT473" s="111"/>
      <c r="AU473" s="193"/>
      <c r="AV473" s="140"/>
      <c r="AW473" s="118"/>
      <c r="AX473" s="141"/>
      <c r="AY473" s="149"/>
      <c r="AZ473" s="121"/>
      <c r="BA473" s="150"/>
      <c r="BB473" s="158"/>
      <c r="BC473" s="124"/>
      <c r="BD473" s="159"/>
      <c r="BE473" s="167"/>
      <c r="BF473" s="85"/>
      <c r="BG473" s="168"/>
      <c r="BH473" s="175"/>
      <c r="BI473" s="127"/>
      <c r="BJ473" s="176"/>
      <c r="BK473" s="184"/>
      <c r="BL473" s="130"/>
      <c r="BM473" s="185"/>
      <c r="BN473" s="69"/>
      <c r="BO473" s="85"/>
      <c r="BP473" s="85"/>
      <c r="BQ473" s="85"/>
      <c r="BR473" s="85"/>
      <c r="BS473" s="85"/>
      <c r="BT473" s="85"/>
      <c r="BU473" s="87"/>
      <c r="BV473" s="87"/>
      <c r="BW473" s="87"/>
      <c r="BX473" s="87"/>
      <c r="BY473" s="87"/>
      <c r="BZ473" s="87"/>
      <c r="CA473" s="90"/>
      <c r="CB473" s="90"/>
      <c r="CC473" s="90"/>
      <c r="CD473" s="90"/>
      <c r="CE473" s="90"/>
      <c r="CF473" s="90"/>
      <c r="CG473" s="85"/>
      <c r="CH473" s="85"/>
      <c r="CI473" s="85"/>
      <c r="CJ473" s="85"/>
      <c r="CK473" s="85"/>
      <c r="CL473" s="87"/>
      <c r="CM473" s="87"/>
      <c r="CN473" s="87"/>
      <c r="CO473" s="87"/>
      <c r="CP473" s="90"/>
      <c r="CQ473" s="90"/>
      <c r="CR473" s="90"/>
      <c r="CS473" s="90"/>
      <c r="CT473" s="85"/>
      <c r="CU473" s="85"/>
      <c r="CV473" s="85"/>
      <c r="CW473" s="85"/>
      <c r="CX473" s="85"/>
      <c r="CY473" s="85"/>
      <c r="CZ473" s="85"/>
      <c r="DA473" s="33">
        <f t="shared" si="6"/>
        <v>0</v>
      </c>
    </row>
    <row r="474" spans="36:105" ht="19" x14ac:dyDescent="0.25">
      <c r="AJ474" s="63"/>
      <c r="AK474" s="20"/>
      <c r="AL474" s="21"/>
      <c r="AM474" s="22"/>
      <c r="AN474" s="23"/>
      <c r="AO474" s="24"/>
      <c r="AP474" s="25"/>
      <c r="AQ474" s="26"/>
      <c r="AR474" s="27"/>
      <c r="AS474" s="192"/>
      <c r="AT474" s="111"/>
      <c r="AU474" s="193"/>
      <c r="AV474" s="140"/>
      <c r="AW474" s="118"/>
      <c r="AX474" s="141"/>
      <c r="AY474" s="149"/>
      <c r="AZ474" s="121"/>
      <c r="BA474" s="150"/>
      <c r="BB474" s="158"/>
      <c r="BC474" s="124"/>
      <c r="BD474" s="159"/>
      <c r="BE474" s="167"/>
      <c r="BF474" s="85"/>
      <c r="BG474" s="168"/>
      <c r="BH474" s="175"/>
      <c r="BI474" s="127"/>
      <c r="BJ474" s="176"/>
      <c r="BK474" s="184"/>
      <c r="BL474" s="130"/>
      <c r="BM474" s="185"/>
      <c r="BN474" s="69"/>
      <c r="BO474" s="85"/>
      <c r="BP474" s="85"/>
      <c r="BQ474" s="85"/>
      <c r="BR474" s="85"/>
      <c r="BS474" s="85"/>
      <c r="BT474" s="85"/>
      <c r="BU474" s="87"/>
      <c r="BV474" s="87"/>
      <c r="BW474" s="87"/>
      <c r="BX474" s="87"/>
      <c r="BY474" s="87"/>
      <c r="BZ474" s="87"/>
      <c r="CA474" s="90"/>
      <c r="CB474" s="90"/>
      <c r="CC474" s="90"/>
      <c r="CD474" s="90"/>
      <c r="CE474" s="90"/>
      <c r="CF474" s="90"/>
      <c r="CG474" s="85"/>
      <c r="CH474" s="85"/>
      <c r="CI474" s="85"/>
      <c r="CJ474" s="85"/>
      <c r="CK474" s="85"/>
      <c r="CL474" s="87"/>
      <c r="CM474" s="87"/>
      <c r="CN474" s="87"/>
      <c r="CO474" s="87"/>
      <c r="CP474" s="90"/>
      <c r="CQ474" s="90"/>
      <c r="CR474" s="90"/>
      <c r="CS474" s="90"/>
      <c r="CT474" s="85"/>
      <c r="CU474" s="85"/>
      <c r="CV474" s="85"/>
      <c r="CW474" s="85"/>
      <c r="CX474" s="85"/>
      <c r="CY474" s="85"/>
      <c r="CZ474" s="85"/>
      <c r="DA474" s="33">
        <f t="shared" si="6"/>
        <v>0</v>
      </c>
    </row>
    <row r="475" spans="36:105" ht="19" x14ac:dyDescent="0.25">
      <c r="AJ475" s="63"/>
      <c r="AK475" s="20"/>
      <c r="AL475" s="21"/>
      <c r="AM475" s="22"/>
      <c r="AN475" s="23"/>
      <c r="AO475" s="24"/>
      <c r="AP475" s="25"/>
      <c r="AQ475" s="26"/>
      <c r="AR475" s="27"/>
      <c r="AS475" s="192"/>
      <c r="AT475" s="111"/>
      <c r="AU475" s="193"/>
      <c r="AV475" s="140"/>
      <c r="AW475" s="118"/>
      <c r="AX475" s="141"/>
      <c r="AY475" s="149"/>
      <c r="AZ475" s="121"/>
      <c r="BA475" s="150"/>
      <c r="BB475" s="158"/>
      <c r="BC475" s="124"/>
      <c r="BD475" s="159"/>
      <c r="BE475" s="167"/>
      <c r="BF475" s="85"/>
      <c r="BG475" s="168"/>
      <c r="BH475" s="175"/>
      <c r="BI475" s="127"/>
      <c r="BJ475" s="176"/>
      <c r="BK475" s="184"/>
      <c r="BL475" s="130"/>
      <c r="BM475" s="185"/>
      <c r="BN475" s="69"/>
      <c r="BO475" s="85"/>
      <c r="BP475" s="85"/>
      <c r="BQ475" s="85"/>
      <c r="BR475" s="85"/>
      <c r="BS475" s="85"/>
      <c r="BT475" s="85"/>
      <c r="BU475" s="87"/>
      <c r="BV475" s="87"/>
      <c r="BW475" s="87"/>
      <c r="BX475" s="87"/>
      <c r="BY475" s="87"/>
      <c r="BZ475" s="87"/>
      <c r="CA475" s="90"/>
      <c r="CB475" s="90"/>
      <c r="CC475" s="90"/>
      <c r="CD475" s="90"/>
      <c r="CE475" s="90"/>
      <c r="CF475" s="90"/>
      <c r="CG475" s="85"/>
      <c r="CH475" s="85"/>
      <c r="CI475" s="85"/>
      <c r="CJ475" s="85"/>
      <c r="CK475" s="85"/>
      <c r="CL475" s="87"/>
      <c r="CM475" s="87"/>
      <c r="CN475" s="87"/>
      <c r="CO475" s="87"/>
      <c r="CP475" s="90"/>
      <c r="CQ475" s="90"/>
      <c r="CR475" s="90"/>
      <c r="CS475" s="90"/>
      <c r="CT475" s="85"/>
      <c r="CU475" s="85"/>
      <c r="CV475" s="85"/>
      <c r="CW475" s="85"/>
      <c r="CX475" s="85"/>
      <c r="CY475" s="85"/>
      <c r="CZ475" s="85"/>
      <c r="DA475" s="33">
        <f t="shared" si="6"/>
        <v>0</v>
      </c>
    </row>
    <row r="476" spans="36:105" ht="19" x14ac:dyDescent="0.25">
      <c r="AJ476" s="63"/>
      <c r="AK476" s="20"/>
      <c r="AL476" s="21"/>
      <c r="AM476" s="22"/>
      <c r="AN476" s="23"/>
      <c r="AO476" s="24"/>
      <c r="AP476" s="25"/>
      <c r="AQ476" s="26"/>
      <c r="AR476" s="27"/>
      <c r="AS476" s="192"/>
      <c r="AT476" s="111"/>
      <c r="AU476" s="193"/>
      <c r="AV476" s="140"/>
      <c r="AW476" s="118"/>
      <c r="AX476" s="141"/>
      <c r="AY476" s="149"/>
      <c r="AZ476" s="121"/>
      <c r="BA476" s="150"/>
      <c r="BB476" s="158"/>
      <c r="BC476" s="124"/>
      <c r="BD476" s="159"/>
      <c r="BE476" s="167"/>
      <c r="BF476" s="85"/>
      <c r="BG476" s="168"/>
      <c r="BH476" s="175"/>
      <c r="BI476" s="127"/>
      <c r="BJ476" s="176"/>
      <c r="BK476" s="184"/>
      <c r="BL476" s="130"/>
      <c r="BM476" s="185"/>
      <c r="BN476" s="69"/>
      <c r="BO476" s="85"/>
      <c r="BP476" s="85"/>
      <c r="BQ476" s="85"/>
      <c r="BR476" s="85"/>
      <c r="BS476" s="85"/>
      <c r="BT476" s="85"/>
      <c r="BU476" s="87"/>
      <c r="BV476" s="87"/>
      <c r="BW476" s="87"/>
      <c r="BX476" s="87"/>
      <c r="BY476" s="87"/>
      <c r="BZ476" s="87"/>
      <c r="CA476" s="90"/>
      <c r="CB476" s="90"/>
      <c r="CC476" s="90"/>
      <c r="CD476" s="90"/>
      <c r="CE476" s="90"/>
      <c r="CF476" s="90"/>
      <c r="CG476" s="85"/>
      <c r="CH476" s="85"/>
      <c r="CI476" s="85"/>
      <c r="CJ476" s="85"/>
      <c r="CK476" s="85"/>
      <c r="CL476" s="87"/>
      <c r="CM476" s="87"/>
      <c r="CN476" s="87"/>
      <c r="CO476" s="87"/>
      <c r="CP476" s="90"/>
      <c r="CQ476" s="90"/>
      <c r="CR476" s="90"/>
      <c r="CS476" s="90"/>
      <c r="CT476" s="85"/>
      <c r="CU476" s="85"/>
      <c r="CV476" s="85"/>
      <c r="CW476" s="85"/>
      <c r="CX476" s="85"/>
      <c r="CY476" s="85"/>
      <c r="CZ476" s="85"/>
      <c r="DA476" s="33">
        <f t="shared" si="6"/>
        <v>0</v>
      </c>
    </row>
    <row r="477" spans="36:105" ht="19" x14ac:dyDescent="0.25">
      <c r="AJ477" s="63"/>
      <c r="AK477" s="20"/>
      <c r="AL477" s="21"/>
      <c r="AM477" s="22"/>
      <c r="AN477" s="23"/>
      <c r="AO477" s="24"/>
      <c r="AP477" s="25"/>
      <c r="AQ477" s="26"/>
      <c r="AR477" s="27"/>
      <c r="AS477" s="192"/>
      <c r="AT477" s="111"/>
      <c r="AU477" s="193"/>
      <c r="AV477" s="140"/>
      <c r="AW477" s="118"/>
      <c r="AX477" s="141"/>
      <c r="AY477" s="149"/>
      <c r="AZ477" s="121"/>
      <c r="BA477" s="150"/>
      <c r="BB477" s="158"/>
      <c r="BC477" s="124"/>
      <c r="BD477" s="159"/>
      <c r="BE477" s="167"/>
      <c r="BF477" s="85"/>
      <c r="BG477" s="168"/>
      <c r="BH477" s="175"/>
      <c r="BI477" s="127"/>
      <c r="BJ477" s="176"/>
      <c r="BK477" s="184"/>
      <c r="BL477" s="130"/>
      <c r="BM477" s="185"/>
      <c r="BN477" s="69"/>
      <c r="BO477" s="85"/>
      <c r="BP477" s="85"/>
      <c r="BQ477" s="85"/>
      <c r="BR477" s="85"/>
      <c r="BS477" s="85"/>
      <c r="BT477" s="85"/>
      <c r="BU477" s="87"/>
      <c r="BV477" s="87"/>
      <c r="BW477" s="87"/>
      <c r="BX477" s="87"/>
      <c r="BY477" s="87"/>
      <c r="BZ477" s="87"/>
      <c r="CA477" s="90"/>
      <c r="CB477" s="90"/>
      <c r="CC477" s="90"/>
      <c r="CD477" s="90"/>
      <c r="CE477" s="90"/>
      <c r="CF477" s="90"/>
      <c r="CG477" s="85"/>
      <c r="CH477" s="85"/>
      <c r="CI477" s="85"/>
      <c r="CJ477" s="85"/>
      <c r="CK477" s="85"/>
      <c r="CL477" s="87"/>
      <c r="CM477" s="87"/>
      <c r="CN477" s="87"/>
      <c r="CO477" s="87"/>
      <c r="CP477" s="90"/>
      <c r="CQ477" s="90"/>
      <c r="CR477" s="90"/>
      <c r="CS477" s="90"/>
      <c r="CT477" s="85"/>
      <c r="CU477" s="85"/>
      <c r="CV477" s="85"/>
      <c r="CW477" s="85"/>
      <c r="CX477" s="85"/>
      <c r="CY477" s="85"/>
      <c r="CZ477" s="85"/>
      <c r="DA477" s="33">
        <f t="shared" si="6"/>
        <v>0</v>
      </c>
    </row>
    <row r="478" spans="36:105" ht="19" x14ac:dyDescent="0.25">
      <c r="AJ478" s="63"/>
      <c r="AK478" s="20"/>
      <c r="AL478" s="21"/>
      <c r="AM478" s="22"/>
      <c r="AN478" s="23"/>
      <c r="AO478" s="24"/>
      <c r="AP478" s="25"/>
      <c r="AQ478" s="26"/>
      <c r="AR478" s="27"/>
      <c r="AS478" s="192"/>
      <c r="AT478" s="111"/>
      <c r="AU478" s="193"/>
      <c r="AV478" s="140"/>
      <c r="AW478" s="118"/>
      <c r="AX478" s="141"/>
      <c r="AY478" s="149"/>
      <c r="AZ478" s="121"/>
      <c r="BA478" s="150"/>
      <c r="BB478" s="158"/>
      <c r="BC478" s="124"/>
      <c r="BD478" s="159"/>
      <c r="BE478" s="167"/>
      <c r="BF478" s="85"/>
      <c r="BG478" s="168"/>
      <c r="BH478" s="175"/>
      <c r="BI478" s="127"/>
      <c r="BJ478" s="176"/>
      <c r="BK478" s="184"/>
      <c r="BL478" s="130"/>
      <c r="BM478" s="185"/>
      <c r="BN478" s="69"/>
      <c r="BO478" s="85"/>
      <c r="BP478" s="85"/>
      <c r="BQ478" s="85"/>
      <c r="BR478" s="85"/>
      <c r="BS478" s="85"/>
      <c r="BT478" s="85"/>
      <c r="BU478" s="87"/>
      <c r="BV478" s="87"/>
      <c r="BW478" s="87"/>
      <c r="BX478" s="87"/>
      <c r="BY478" s="87"/>
      <c r="BZ478" s="87"/>
      <c r="CA478" s="90"/>
      <c r="CB478" s="90"/>
      <c r="CC478" s="90"/>
      <c r="CD478" s="90"/>
      <c r="CE478" s="90"/>
      <c r="CF478" s="90"/>
      <c r="CG478" s="85"/>
      <c r="CH478" s="85"/>
      <c r="CI478" s="85"/>
      <c r="CJ478" s="85"/>
      <c r="CK478" s="85"/>
      <c r="CL478" s="87"/>
      <c r="CM478" s="87"/>
      <c r="CN478" s="87"/>
      <c r="CO478" s="87"/>
      <c r="CP478" s="90"/>
      <c r="CQ478" s="90"/>
      <c r="CR478" s="90"/>
      <c r="CS478" s="90"/>
      <c r="CT478" s="85"/>
      <c r="CU478" s="85"/>
      <c r="CV478" s="85"/>
      <c r="CW478" s="85"/>
      <c r="CX478" s="85"/>
      <c r="CY478" s="85"/>
      <c r="CZ478" s="85"/>
      <c r="DA478" s="33">
        <f t="shared" si="6"/>
        <v>0</v>
      </c>
    </row>
    <row r="479" spans="36:105" ht="19" x14ac:dyDescent="0.25">
      <c r="AJ479" s="63"/>
      <c r="AK479" s="20"/>
      <c r="AL479" s="21"/>
      <c r="AM479" s="22"/>
      <c r="AN479" s="23"/>
      <c r="AO479" s="24"/>
      <c r="AP479" s="25"/>
      <c r="AQ479" s="26"/>
      <c r="AR479" s="27"/>
      <c r="AS479" s="192"/>
      <c r="AT479" s="111"/>
      <c r="AU479" s="193"/>
      <c r="AV479" s="140"/>
      <c r="AW479" s="118"/>
      <c r="AX479" s="141"/>
      <c r="AY479" s="149"/>
      <c r="AZ479" s="121"/>
      <c r="BA479" s="150"/>
      <c r="BB479" s="158"/>
      <c r="BC479" s="124"/>
      <c r="BD479" s="159"/>
      <c r="BE479" s="167"/>
      <c r="BF479" s="85"/>
      <c r="BG479" s="168"/>
      <c r="BH479" s="175"/>
      <c r="BI479" s="127"/>
      <c r="BJ479" s="176"/>
      <c r="BK479" s="184"/>
      <c r="BL479" s="130"/>
      <c r="BM479" s="185"/>
      <c r="BN479" s="69"/>
      <c r="BO479" s="85"/>
      <c r="BP479" s="85"/>
      <c r="BQ479" s="85"/>
      <c r="BR479" s="85"/>
      <c r="BS479" s="85"/>
      <c r="BT479" s="85"/>
      <c r="BU479" s="87"/>
      <c r="BV479" s="87"/>
      <c r="BW479" s="87"/>
      <c r="BX479" s="87"/>
      <c r="BY479" s="87"/>
      <c r="BZ479" s="87"/>
      <c r="CA479" s="90"/>
      <c r="CB479" s="90"/>
      <c r="CC479" s="90"/>
      <c r="CD479" s="90"/>
      <c r="CE479" s="90"/>
      <c r="CF479" s="90"/>
      <c r="CG479" s="85"/>
      <c r="CH479" s="85"/>
      <c r="CI479" s="85"/>
      <c r="CJ479" s="85"/>
      <c r="CK479" s="85"/>
      <c r="CL479" s="87"/>
      <c r="CM479" s="87"/>
      <c r="CN479" s="87"/>
      <c r="CO479" s="87"/>
      <c r="CP479" s="90"/>
      <c r="CQ479" s="90"/>
      <c r="CR479" s="90"/>
      <c r="CS479" s="90"/>
      <c r="CT479" s="85"/>
      <c r="CU479" s="85"/>
      <c r="CV479" s="85"/>
      <c r="CW479" s="85"/>
      <c r="CX479" s="85"/>
      <c r="CY479" s="85"/>
      <c r="CZ479" s="85"/>
      <c r="DA479" s="33">
        <f t="shared" si="6"/>
        <v>0</v>
      </c>
    </row>
    <row r="480" spans="36:105" ht="19" x14ac:dyDescent="0.25">
      <c r="AJ480" s="63"/>
      <c r="AK480" s="20"/>
      <c r="AL480" s="21"/>
      <c r="AM480" s="22"/>
      <c r="AN480" s="23"/>
      <c r="AO480" s="24"/>
      <c r="AP480" s="25"/>
      <c r="AQ480" s="26"/>
      <c r="AR480" s="27"/>
      <c r="AS480" s="192"/>
      <c r="AT480" s="111"/>
      <c r="AU480" s="193"/>
      <c r="AV480" s="140"/>
      <c r="AW480" s="118"/>
      <c r="AX480" s="141"/>
      <c r="AY480" s="149"/>
      <c r="AZ480" s="121"/>
      <c r="BA480" s="150"/>
      <c r="BB480" s="158"/>
      <c r="BC480" s="124"/>
      <c r="BD480" s="159"/>
      <c r="BE480" s="167"/>
      <c r="BF480" s="85"/>
      <c r="BG480" s="168"/>
      <c r="BH480" s="175"/>
      <c r="BI480" s="127"/>
      <c r="BJ480" s="176"/>
      <c r="BK480" s="184"/>
      <c r="BL480" s="130"/>
      <c r="BM480" s="185"/>
      <c r="BN480" s="69"/>
      <c r="BO480" s="85"/>
      <c r="BP480" s="85"/>
      <c r="BQ480" s="85"/>
      <c r="BR480" s="85"/>
      <c r="BS480" s="85"/>
      <c r="BT480" s="85"/>
      <c r="BU480" s="87"/>
      <c r="BV480" s="87"/>
      <c r="BW480" s="87"/>
      <c r="BX480" s="87"/>
      <c r="BY480" s="87"/>
      <c r="BZ480" s="87"/>
      <c r="CA480" s="90"/>
      <c r="CB480" s="90"/>
      <c r="CC480" s="90"/>
      <c r="CD480" s="90"/>
      <c r="CE480" s="90"/>
      <c r="CF480" s="90"/>
      <c r="CG480" s="85"/>
      <c r="CH480" s="85"/>
      <c r="CI480" s="85"/>
      <c r="CJ480" s="85"/>
      <c r="CK480" s="85"/>
      <c r="CL480" s="87"/>
      <c r="CM480" s="87"/>
      <c r="CN480" s="87"/>
      <c r="CO480" s="87"/>
      <c r="CP480" s="90"/>
      <c r="CQ480" s="90"/>
      <c r="CR480" s="90"/>
      <c r="CS480" s="90"/>
      <c r="CT480" s="85"/>
      <c r="CU480" s="85"/>
      <c r="CV480" s="85"/>
      <c r="CW480" s="85"/>
      <c r="CX480" s="85"/>
      <c r="CY480" s="85"/>
      <c r="CZ480" s="85"/>
      <c r="DA480" s="33">
        <f t="shared" si="6"/>
        <v>0</v>
      </c>
    </row>
    <row r="481" spans="36:105" ht="19" x14ac:dyDescent="0.25">
      <c r="AJ481" s="63"/>
      <c r="AK481" s="20"/>
      <c r="AL481" s="21"/>
      <c r="AM481" s="22"/>
      <c r="AN481" s="23"/>
      <c r="AO481" s="24"/>
      <c r="AP481" s="25"/>
      <c r="AQ481" s="26"/>
      <c r="AR481" s="27"/>
      <c r="AS481" s="192"/>
      <c r="AT481" s="111"/>
      <c r="AU481" s="193"/>
      <c r="AV481" s="140"/>
      <c r="AW481" s="118"/>
      <c r="AX481" s="141"/>
      <c r="AY481" s="149"/>
      <c r="AZ481" s="121"/>
      <c r="BA481" s="150"/>
      <c r="BB481" s="158"/>
      <c r="BC481" s="124"/>
      <c r="BD481" s="159"/>
      <c r="BE481" s="167"/>
      <c r="BF481" s="85"/>
      <c r="BG481" s="168"/>
      <c r="BH481" s="175"/>
      <c r="BI481" s="127"/>
      <c r="BJ481" s="176"/>
      <c r="BK481" s="184"/>
      <c r="BL481" s="130"/>
      <c r="BM481" s="185"/>
      <c r="BN481" s="69"/>
      <c r="BO481" s="85"/>
      <c r="BP481" s="85"/>
      <c r="BQ481" s="85"/>
      <c r="BR481" s="85"/>
      <c r="BS481" s="85"/>
      <c r="BT481" s="85"/>
      <c r="BU481" s="87"/>
      <c r="BV481" s="87"/>
      <c r="BW481" s="87"/>
      <c r="BX481" s="87"/>
      <c r="BY481" s="87"/>
      <c r="BZ481" s="87"/>
      <c r="CA481" s="90"/>
      <c r="CB481" s="90"/>
      <c r="CC481" s="90"/>
      <c r="CD481" s="90"/>
      <c r="CE481" s="90"/>
      <c r="CF481" s="90"/>
      <c r="CG481" s="85"/>
      <c r="CH481" s="85"/>
      <c r="CI481" s="85"/>
      <c r="CJ481" s="85"/>
      <c r="CK481" s="85"/>
      <c r="CL481" s="87"/>
      <c r="CM481" s="87"/>
      <c r="CN481" s="87"/>
      <c r="CO481" s="87"/>
      <c r="CP481" s="90"/>
      <c r="CQ481" s="90"/>
      <c r="CR481" s="90"/>
      <c r="CS481" s="90"/>
      <c r="CT481" s="85"/>
      <c r="CU481" s="85"/>
      <c r="CV481" s="85"/>
      <c r="CW481" s="85"/>
      <c r="CX481" s="85"/>
      <c r="CY481" s="85"/>
      <c r="CZ481" s="85"/>
      <c r="DA481" s="33">
        <f t="shared" si="6"/>
        <v>0</v>
      </c>
    </row>
    <row r="482" spans="36:105" ht="19" x14ac:dyDescent="0.25">
      <c r="AJ482" s="63"/>
      <c r="AK482" s="20"/>
      <c r="AL482" s="21"/>
      <c r="AM482" s="22"/>
      <c r="AN482" s="23"/>
      <c r="AO482" s="24"/>
      <c r="AP482" s="25"/>
      <c r="AQ482" s="26"/>
      <c r="AR482" s="27"/>
      <c r="AS482" s="192"/>
      <c r="AT482" s="111"/>
      <c r="AU482" s="193"/>
      <c r="AV482" s="140"/>
      <c r="AW482" s="118"/>
      <c r="AX482" s="141"/>
      <c r="AY482" s="149"/>
      <c r="AZ482" s="121"/>
      <c r="BA482" s="150"/>
      <c r="BB482" s="158"/>
      <c r="BC482" s="124"/>
      <c r="BD482" s="159"/>
      <c r="BE482" s="167"/>
      <c r="BF482" s="85"/>
      <c r="BG482" s="168"/>
      <c r="BH482" s="175"/>
      <c r="BI482" s="127"/>
      <c r="BJ482" s="176"/>
      <c r="BK482" s="184"/>
      <c r="BL482" s="130"/>
      <c r="BM482" s="185"/>
      <c r="BN482" s="69"/>
      <c r="BO482" s="85"/>
      <c r="BP482" s="85"/>
      <c r="BQ482" s="85"/>
      <c r="BR482" s="85"/>
      <c r="BS482" s="85"/>
      <c r="BT482" s="85"/>
      <c r="BU482" s="87"/>
      <c r="BV482" s="87"/>
      <c r="BW482" s="87"/>
      <c r="BX482" s="87"/>
      <c r="BY482" s="87"/>
      <c r="BZ482" s="87"/>
      <c r="CA482" s="90"/>
      <c r="CB482" s="90"/>
      <c r="CC482" s="90"/>
      <c r="CD482" s="90"/>
      <c r="CE482" s="90"/>
      <c r="CF482" s="90"/>
      <c r="CG482" s="85"/>
      <c r="CH482" s="85"/>
      <c r="CI482" s="85"/>
      <c r="CJ482" s="85"/>
      <c r="CK482" s="85"/>
      <c r="CL482" s="87"/>
      <c r="CM482" s="87"/>
      <c r="CN482" s="87"/>
      <c r="CO482" s="87"/>
      <c r="CP482" s="90"/>
      <c r="CQ482" s="90"/>
      <c r="CR482" s="90"/>
      <c r="CS482" s="90"/>
      <c r="CT482" s="85"/>
      <c r="CU482" s="85"/>
      <c r="CV482" s="85"/>
      <c r="CW482" s="85"/>
      <c r="CX482" s="85"/>
      <c r="CY482" s="85"/>
      <c r="CZ482" s="85"/>
      <c r="DA482" s="33">
        <f t="shared" si="6"/>
        <v>0</v>
      </c>
    </row>
    <row r="483" spans="36:105" ht="19" x14ac:dyDescent="0.25">
      <c r="AJ483" s="63"/>
      <c r="AK483" s="20"/>
      <c r="AL483" s="21"/>
      <c r="AM483" s="22"/>
      <c r="AN483" s="23"/>
      <c r="AO483" s="24"/>
      <c r="AP483" s="25"/>
      <c r="AQ483" s="26"/>
      <c r="AR483" s="27"/>
      <c r="AS483" s="192"/>
      <c r="AT483" s="111"/>
      <c r="AU483" s="193"/>
      <c r="AV483" s="140"/>
      <c r="AW483" s="118"/>
      <c r="AX483" s="141"/>
      <c r="AY483" s="149"/>
      <c r="AZ483" s="121"/>
      <c r="BA483" s="150"/>
      <c r="BB483" s="158"/>
      <c r="BC483" s="124"/>
      <c r="BD483" s="159"/>
      <c r="BE483" s="167"/>
      <c r="BF483" s="85"/>
      <c r="BG483" s="168"/>
      <c r="BH483" s="175"/>
      <c r="BI483" s="127"/>
      <c r="BJ483" s="176"/>
      <c r="BK483" s="184"/>
      <c r="BL483" s="130"/>
      <c r="BM483" s="185"/>
      <c r="BN483" s="69"/>
      <c r="BO483" s="85"/>
      <c r="BP483" s="85"/>
      <c r="BQ483" s="85"/>
      <c r="BR483" s="85"/>
      <c r="BS483" s="85"/>
      <c r="BT483" s="85"/>
      <c r="BU483" s="87"/>
      <c r="BV483" s="87"/>
      <c r="BW483" s="87"/>
      <c r="BX483" s="87"/>
      <c r="BY483" s="87"/>
      <c r="BZ483" s="87"/>
      <c r="CA483" s="90"/>
      <c r="CB483" s="90"/>
      <c r="CC483" s="90"/>
      <c r="CD483" s="90"/>
      <c r="CE483" s="90"/>
      <c r="CF483" s="90"/>
      <c r="CG483" s="85"/>
      <c r="CH483" s="85"/>
      <c r="CI483" s="85"/>
      <c r="CJ483" s="85"/>
      <c r="CK483" s="85"/>
      <c r="CL483" s="87"/>
      <c r="CM483" s="87"/>
      <c r="CN483" s="87"/>
      <c r="CO483" s="87"/>
      <c r="CP483" s="90"/>
      <c r="CQ483" s="90"/>
      <c r="CR483" s="90"/>
      <c r="CS483" s="90"/>
      <c r="CT483" s="85"/>
      <c r="CU483" s="85"/>
      <c r="CV483" s="85"/>
      <c r="CW483" s="85"/>
      <c r="CX483" s="85"/>
      <c r="CY483" s="85"/>
      <c r="CZ483" s="85"/>
      <c r="DA483" s="33">
        <f t="shared" si="6"/>
        <v>0</v>
      </c>
    </row>
    <row r="484" spans="36:105" ht="19" x14ac:dyDescent="0.25">
      <c r="AJ484" s="63"/>
      <c r="AK484" s="20"/>
      <c r="AL484" s="21"/>
      <c r="AM484" s="22"/>
      <c r="AN484" s="23"/>
      <c r="AO484" s="24"/>
      <c r="AP484" s="25"/>
      <c r="AQ484" s="26"/>
      <c r="AR484" s="27"/>
      <c r="AS484" s="192"/>
      <c r="AT484" s="111"/>
      <c r="AU484" s="193"/>
      <c r="AV484" s="140"/>
      <c r="AW484" s="118"/>
      <c r="AX484" s="141"/>
      <c r="AY484" s="149"/>
      <c r="AZ484" s="121"/>
      <c r="BA484" s="150"/>
      <c r="BB484" s="158"/>
      <c r="BC484" s="124"/>
      <c r="BD484" s="159"/>
      <c r="BE484" s="167"/>
      <c r="BF484" s="85"/>
      <c r="BG484" s="168"/>
      <c r="BH484" s="175"/>
      <c r="BI484" s="127"/>
      <c r="BJ484" s="176"/>
      <c r="BK484" s="184"/>
      <c r="BL484" s="130"/>
      <c r="BM484" s="185"/>
      <c r="BN484" s="69"/>
      <c r="BO484" s="85"/>
      <c r="BP484" s="85"/>
      <c r="BQ484" s="85"/>
      <c r="BR484" s="85"/>
      <c r="BS484" s="85"/>
      <c r="BT484" s="85"/>
      <c r="BU484" s="87"/>
      <c r="BV484" s="87"/>
      <c r="BW484" s="87"/>
      <c r="BX484" s="87"/>
      <c r="BY484" s="87"/>
      <c r="BZ484" s="87"/>
      <c r="CA484" s="90"/>
      <c r="CB484" s="90"/>
      <c r="CC484" s="90"/>
      <c r="CD484" s="90"/>
      <c r="CE484" s="90"/>
      <c r="CF484" s="90"/>
      <c r="CG484" s="85"/>
      <c r="CH484" s="85"/>
      <c r="CI484" s="85"/>
      <c r="CJ484" s="85"/>
      <c r="CK484" s="85"/>
      <c r="CL484" s="87"/>
      <c r="CM484" s="87"/>
      <c r="CN484" s="87"/>
      <c r="CO484" s="87"/>
      <c r="CP484" s="90"/>
      <c r="CQ484" s="90"/>
      <c r="CR484" s="90"/>
      <c r="CS484" s="90"/>
      <c r="CT484" s="85"/>
      <c r="CU484" s="85"/>
      <c r="CV484" s="85"/>
      <c r="CW484" s="85"/>
      <c r="CX484" s="85"/>
      <c r="CY484" s="85"/>
      <c r="CZ484" s="85"/>
      <c r="DA484" s="33">
        <f t="shared" si="6"/>
        <v>0</v>
      </c>
    </row>
    <row r="485" spans="36:105" ht="19" x14ac:dyDescent="0.25">
      <c r="AJ485" s="63"/>
      <c r="AK485" s="20"/>
      <c r="AL485" s="21"/>
      <c r="AM485" s="22"/>
      <c r="AN485" s="23"/>
      <c r="AO485" s="24"/>
      <c r="AP485" s="25"/>
      <c r="AQ485" s="26"/>
      <c r="AR485" s="27"/>
      <c r="AS485" s="192"/>
      <c r="AT485" s="111"/>
      <c r="AU485" s="193"/>
      <c r="AV485" s="140"/>
      <c r="AW485" s="118"/>
      <c r="AX485" s="141"/>
      <c r="AY485" s="149"/>
      <c r="AZ485" s="121"/>
      <c r="BA485" s="150"/>
      <c r="BB485" s="158"/>
      <c r="BC485" s="124"/>
      <c r="BD485" s="159"/>
      <c r="BE485" s="167"/>
      <c r="BF485" s="85"/>
      <c r="BG485" s="168"/>
      <c r="BH485" s="175"/>
      <c r="BI485" s="127"/>
      <c r="BJ485" s="176"/>
      <c r="BK485" s="184"/>
      <c r="BL485" s="130"/>
      <c r="BM485" s="185"/>
      <c r="BN485" s="69"/>
      <c r="BO485" s="85"/>
      <c r="BP485" s="85"/>
      <c r="BQ485" s="85"/>
      <c r="BR485" s="85"/>
      <c r="BS485" s="85"/>
      <c r="BT485" s="85"/>
      <c r="BU485" s="87"/>
      <c r="BV485" s="87"/>
      <c r="BW485" s="87"/>
      <c r="BX485" s="87"/>
      <c r="BY485" s="87"/>
      <c r="BZ485" s="87"/>
      <c r="CA485" s="90"/>
      <c r="CB485" s="90"/>
      <c r="CC485" s="90"/>
      <c r="CD485" s="90"/>
      <c r="CE485" s="90"/>
      <c r="CF485" s="90"/>
      <c r="CG485" s="85"/>
      <c r="CH485" s="85"/>
      <c r="CI485" s="85"/>
      <c r="CJ485" s="85"/>
      <c r="CK485" s="85"/>
      <c r="CL485" s="87"/>
      <c r="CM485" s="87"/>
      <c r="CN485" s="87"/>
      <c r="CO485" s="87"/>
      <c r="CP485" s="90"/>
      <c r="CQ485" s="90"/>
      <c r="CR485" s="90"/>
      <c r="CS485" s="90"/>
      <c r="CT485" s="85"/>
      <c r="CU485" s="85"/>
      <c r="CV485" s="85"/>
      <c r="CW485" s="85"/>
      <c r="CX485" s="85"/>
      <c r="CY485" s="85"/>
      <c r="CZ485" s="85"/>
      <c r="DA485" s="33">
        <f t="shared" si="6"/>
        <v>0</v>
      </c>
    </row>
    <row r="486" spans="36:105" ht="19" x14ac:dyDescent="0.25">
      <c r="AJ486" s="63"/>
      <c r="AK486" s="20"/>
      <c r="AL486" s="21"/>
      <c r="AM486" s="22"/>
      <c r="AN486" s="23"/>
      <c r="AO486" s="24"/>
      <c r="AP486" s="25"/>
      <c r="AQ486" s="26"/>
      <c r="AR486" s="27"/>
      <c r="AS486" s="192"/>
      <c r="AT486" s="111"/>
      <c r="AU486" s="193"/>
      <c r="AV486" s="140"/>
      <c r="AW486" s="118"/>
      <c r="AX486" s="141"/>
      <c r="AY486" s="149"/>
      <c r="AZ486" s="121"/>
      <c r="BA486" s="150"/>
      <c r="BB486" s="158"/>
      <c r="BC486" s="124"/>
      <c r="BD486" s="159"/>
      <c r="BE486" s="167"/>
      <c r="BF486" s="85"/>
      <c r="BG486" s="168"/>
      <c r="BH486" s="175"/>
      <c r="BI486" s="127"/>
      <c r="BJ486" s="176"/>
      <c r="BK486" s="184"/>
      <c r="BL486" s="130"/>
      <c r="BM486" s="185"/>
      <c r="BN486" s="69"/>
      <c r="BO486" s="85"/>
      <c r="BP486" s="85"/>
      <c r="BQ486" s="85"/>
      <c r="BR486" s="85"/>
      <c r="BS486" s="85"/>
      <c r="BT486" s="85"/>
      <c r="BU486" s="87"/>
      <c r="BV486" s="87"/>
      <c r="BW486" s="87"/>
      <c r="BX486" s="87"/>
      <c r="BY486" s="87"/>
      <c r="BZ486" s="87"/>
      <c r="CA486" s="90"/>
      <c r="CB486" s="90"/>
      <c r="CC486" s="90"/>
      <c r="CD486" s="90"/>
      <c r="CE486" s="90"/>
      <c r="CF486" s="90"/>
      <c r="CG486" s="85"/>
      <c r="CH486" s="85"/>
      <c r="CI486" s="85"/>
      <c r="CJ486" s="85"/>
      <c r="CK486" s="85"/>
      <c r="CL486" s="87"/>
      <c r="CM486" s="87"/>
      <c r="CN486" s="87"/>
      <c r="CO486" s="87"/>
      <c r="CP486" s="90"/>
      <c r="CQ486" s="90"/>
      <c r="CR486" s="90"/>
      <c r="CS486" s="90"/>
      <c r="CT486" s="85"/>
      <c r="CU486" s="85"/>
      <c r="CV486" s="85"/>
      <c r="CW486" s="85"/>
      <c r="CX486" s="85"/>
      <c r="CY486" s="85"/>
      <c r="CZ486" s="85"/>
      <c r="DA486" s="33">
        <f t="shared" ref="DA486:DA549" si="7">D486</f>
        <v>0</v>
      </c>
    </row>
    <row r="487" spans="36:105" ht="19" x14ac:dyDescent="0.25">
      <c r="AJ487" s="63"/>
      <c r="AK487" s="20"/>
      <c r="AL487" s="21"/>
      <c r="AM487" s="22"/>
      <c r="AN487" s="23"/>
      <c r="AO487" s="24"/>
      <c r="AP487" s="25"/>
      <c r="AQ487" s="26"/>
      <c r="AR487" s="27"/>
      <c r="AS487" s="192"/>
      <c r="AT487" s="111"/>
      <c r="AU487" s="193"/>
      <c r="AV487" s="140"/>
      <c r="AW487" s="118"/>
      <c r="AX487" s="141"/>
      <c r="AY487" s="149"/>
      <c r="AZ487" s="121"/>
      <c r="BA487" s="150"/>
      <c r="BB487" s="158"/>
      <c r="BC487" s="124"/>
      <c r="BD487" s="159"/>
      <c r="BE487" s="167"/>
      <c r="BF487" s="85"/>
      <c r="BG487" s="168"/>
      <c r="BH487" s="175"/>
      <c r="BI487" s="127"/>
      <c r="BJ487" s="176"/>
      <c r="BK487" s="184"/>
      <c r="BL487" s="130"/>
      <c r="BM487" s="185"/>
      <c r="BN487" s="69"/>
      <c r="BO487" s="85"/>
      <c r="BP487" s="85"/>
      <c r="BQ487" s="85"/>
      <c r="BR487" s="85"/>
      <c r="BS487" s="85"/>
      <c r="BT487" s="85"/>
      <c r="BU487" s="87"/>
      <c r="BV487" s="87"/>
      <c r="BW487" s="87"/>
      <c r="BX487" s="87"/>
      <c r="BY487" s="87"/>
      <c r="BZ487" s="87"/>
      <c r="CA487" s="90"/>
      <c r="CB487" s="90"/>
      <c r="CC487" s="90"/>
      <c r="CD487" s="90"/>
      <c r="CE487" s="90"/>
      <c r="CF487" s="90"/>
      <c r="CG487" s="85"/>
      <c r="CH487" s="85"/>
      <c r="CI487" s="85"/>
      <c r="CJ487" s="85"/>
      <c r="CK487" s="85"/>
      <c r="CL487" s="87"/>
      <c r="CM487" s="87"/>
      <c r="CN487" s="87"/>
      <c r="CO487" s="87"/>
      <c r="CP487" s="90"/>
      <c r="CQ487" s="90"/>
      <c r="CR487" s="90"/>
      <c r="CS487" s="90"/>
      <c r="CT487" s="85"/>
      <c r="CU487" s="85"/>
      <c r="CV487" s="85"/>
      <c r="CW487" s="85"/>
      <c r="CX487" s="85"/>
      <c r="CY487" s="85"/>
      <c r="CZ487" s="85"/>
      <c r="DA487" s="33">
        <f t="shared" si="7"/>
        <v>0</v>
      </c>
    </row>
    <row r="488" spans="36:105" ht="19" x14ac:dyDescent="0.25">
      <c r="AJ488" s="63"/>
      <c r="AK488" s="20"/>
      <c r="AL488" s="21"/>
      <c r="AM488" s="22"/>
      <c r="AN488" s="23"/>
      <c r="AO488" s="24"/>
      <c r="AP488" s="25"/>
      <c r="AQ488" s="26"/>
      <c r="AR488" s="27"/>
      <c r="AS488" s="192"/>
      <c r="AT488" s="111"/>
      <c r="AU488" s="193"/>
      <c r="AV488" s="140"/>
      <c r="AW488" s="118"/>
      <c r="AX488" s="141"/>
      <c r="AY488" s="149"/>
      <c r="AZ488" s="121"/>
      <c r="BA488" s="150"/>
      <c r="BB488" s="158"/>
      <c r="BC488" s="124"/>
      <c r="BD488" s="159"/>
      <c r="BE488" s="167"/>
      <c r="BF488" s="85"/>
      <c r="BG488" s="168"/>
      <c r="BH488" s="175"/>
      <c r="BI488" s="127"/>
      <c r="BJ488" s="176"/>
      <c r="BK488" s="184"/>
      <c r="BL488" s="130"/>
      <c r="BM488" s="185"/>
      <c r="BN488" s="69"/>
      <c r="BO488" s="85"/>
      <c r="BP488" s="85"/>
      <c r="BQ488" s="85"/>
      <c r="BR488" s="85"/>
      <c r="BS488" s="85"/>
      <c r="BT488" s="85"/>
      <c r="BU488" s="87"/>
      <c r="BV488" s="87"/>
      <c r="BW488" s="87"/>
      <c r="BX488" s="87"/>
      <c r="BY488" s="87"/>
      <c r="BZ488" s="87"/>
      <c r="CA488" s="90"/>
      <c r="CB488" s="90"/>
      <c r="CC488" s="90"/>
      <c r="CD488" s="90"/>
      <c r="CE488" s="90"/>
      <c r="CF488" s="90"/>
      <c r="CG488" s="85"/>
      <c r="CH488" s="85"/>
      <c r="CI488" s="85"/>
      <c r="CJ488" s="85"/>
      <c r="CK488" s="85"/>
      <c r="CL488" s="87"/>
      <c r="CM488" s="87"/>
      <c r="CN488" s="87"/>
      <c r="CO488" s="87"/>
      <c r="CP488" s="90"/>
      <c r="CQ488" s="90"/>
      <c r="CR488" s="90"/>
      <c r="CS488" s="90"/>
      <c r="CT488" s="85"/>
      <c r="CU488" s="85"/>
      <c r="CV488" s="85"/>
      <c r="CW488" s="85"/>
      <c r="CX488" s="85"/>
      <c r="CY488" s="85"/>
      <c r="CZ488" s="85"/>
      <c r="DA488" s="33">
        <f t="shared" si="7"/>
        <v>0</v>
      </c>
    </row>
    <row r="489" spans="36:105" ht="19" x14ac:dyDescent="0.25">
      <c r="AJ489" s="63"/>
      <c r="AK489" s="20"/>
      <c r="AL489" s="21"/>
      <c r="AM489" s="22"/>
      <c r="AN489" s="23"/>
      <c r="AO489" s="24"/>
      <c r="AP489" s="25"/>
      <c r="AQ489" s="26"/>
      <c r="AR489" s="27"/>
      <c r="AS489" s="192"/>
      <c r="AT489" s="111"/>
      <c r="AU489" s="193"/>
      <c r="AV489" s="140"/>
      <c r="AW489" s="118"/>
      <c r="AX489" s="141"/>
      <c r="AY489" s="149"/>
      <c r="AZ489" s="121"/>
      <c r="BA489" s="150"/>
      <c r="BB489" s="158"/>
      <c r="BC489" s="124"/>
      <c r="BD489" s="159"/>
      <c r="BE489" s="167"/>
      <c r="BF489" s="85"/>
      <c r="BG489" s="168"/>
      <c r="BH489" s="175"/>
      <c r="BI489" s="127"/>
      <c r="BJ489" s="176"/>
      <c r="BK489" s="184"/>
      <c r="BL489" s="130"/>
      <c r="BM489" s="185"/>
      <c r="BN489" s="69"/>
      <c r="BO489" s="85"/>
      <c r="BP489" s="85"/>
      <c r="BQ489" s="85"/>
      <c r="BR489" s="85"/>
      <c r="BS489" s="85"/>
      <c r="BT489" s="85"/>
      <c r="BU489" s="87"/>
      <c r="BV489" s="87"/>
      <c r="BW489" s="87"/>
      <c r="BX489" s="87"/>
      <c r="BY489" s="87"/>
      <c r="BZ489" s="87"/>
      <c r="CA489" s="90"/>
      <c r="CB489" s="90"/>
      <c r="CC489" s="90"/>
      <c r="CD489" s="90"/>
      <c r="CE489" s="90"/>
      <c r="CF489" s="90"/>
      <c r="CG489" s="85"/>
      <c r="CH489" s="85"/>
      <c r="CI489" s="85"/>
      <c r="CJ489" s="85"/>
      <c r="CK489" s="85"/>
      <c r="CL489" s="87"/>
      <c r="CM489" s="87"/>
      <c r="CN489" s="87"/>
      <c r="CO489" s="87"/>
      <c r="CP489" s="90"/>
      <c r="CQ489" s="90"/>
      <c r="CR489" s="90"/>
      <c r="CS489" s="90"/>
      <c r="CT489" s="85"/>
      <c r="CU489" s="85"/>
      <c r="CV489" s="85"/>
      <c r="CW489" s="85"/>
      <c r="CX489" s="85"/>
      <c r="CY489" s="85"/>
      <c r="CZ489" s="85"/>
      <c r="DA489" s="33">
        <f t="shared" si="7"/>
        <v>0</v>
      </c>
    </row>
    <row r="490" spans="36:105" ht="19" x14ac:dyDescent="0.25">
      <c r="AJ490" s="63"/>
      <c r="AK490" s="20"/>
      <c r="AL490" s="21"/>
      <c r="AM490" s="22"/>
      <c r="AN490" s="23"/>
      <c r="AO490" s="24"/>
      <c r="AP490" s="25"/>
      <c r="AQ490" s="26"/>
      <c r="AR490" s="27"/>
      <c r="AS490" s="192"/>
      <c r="AT490" s="111"/>
      <c r="AU490" s="193"/>
      <c r="AV490" s="140"/>
      <c r="AW490" s="118"/>
      <c r="AX490" s="141"/>
      <c r="AY490" s="149"/>
      <c r="AZ490" s="121"/>
      <c r="BA490" s="150"/>
      <c r="BB490" s="158"/>
      <c r="BC490" s="124"/>
      <c r="BD490" s="159"/>
      <c r="BE490" s="167"/>
      <c r="BF490" s="85"/>
      <c r="BG490" s="168"/>
      <c r="BH490" s="175"/>
      <c r="BI490" s="127"/>
      <c r="BJ490" s="176"/>
      <c r="BK490" s="184"/>
      <c r="BL490" s="130"/>
      <c r="BM490" s="185"/>
      <c r="BN490" s="69"/>
      <c r="BO490" s="85"/>
      <c r="BP490" s="85"/>
      <c r="BQ490" s="85"/>
      <c r="BR490" s="85"/>
      <c r="BS490" s="85"/>
      <c r="BT490" s="85"/>
      <c r="BU490" s="87"/>
      <c r="BV490" s="87"/>
      <c r="BW490" s="87"/>
      <c r="BX490" s="87"/>
      <c r="BY490" s="87"/>
      <c r="BZ490" s="87"/>
      <c r="CA490" s="90"/>
      <c r="CB490" s="90"/>
      <c r="CC490" s="90"/>
      <c r="CD490" s="90"/>
      <c r="CE490" s="90"/>
      <c r="CF490" s="90"/>
      <c r="CG490" s="85"/>
      <c r="CH490" s="85"/>
      <c r="CI490" s="85"/>
      <c r="CJ490" s="85"/>
      <c r="CK490" s="85"/>
      <c r="CL490" s="87"/>
      <c r="CM490" s="87"/>
      <c r="CN490" s="87"/>
      <c r="CO490" s="87"/>
      <c r="CP490" s="90"/>
      <c r="CQ490" s="90"/>
      <c r="CR490" s="90"/>
      <c r="CS490" s="90"/>
      <c r="CT490" s="85"/>
      <c r="CU490" s="85"/>
      <c r="CV490" s="85"/>
      <c r="CW490" s="85"/>
      <c r="CX490" s="85"/>
      <c r="CY490" s="85"/>
      <c r="CZ490" s="85"/>
      <c r="DA490" s="33">
        <f t="shared" si="7"/>
        <v>0</v>
      </c>
    </row>
    <row r="491" spans="36:105" ht="19" x14ac:dyDescent="0.25">
      <c r="AJ491" s="63"/>
      <c r="AK491" s="20"/>
      <c r="AL491" s="21"/>
      <c r="AM491" s="22"/>
      <c r="AN491" s="23"/>
      <c r="AO491" s="24"/>
      <c r="AP491" s="25"/>
      <c r="AQ491" s="26"/>
      <c r="AR491" s="27"/>
      <c r="AS491" s="192"/>
      <c r="AT491" s="111"/>
      <c r="AU491" s="193"/>
      <c r="AV491" s="140"/>
      <c r="AW491" s="118"/>
      <c r="AX491" s="141"/>
      <c r="AY491" s="149"/>
      <c r="AZ491" s="121"/>
      <c r="BA491" s="150"/>
      <c r="BB491" s="158"/>
      <c r="BC491" s="124"/>
      <c r="BD491" s="159"/>
      <c r="BE491" s="167"/>
      <c r="BF491" s="85"/>
      <c r="BG491" s="168"/>
      <c r="BH491" s="175"/>
      <c r="BI491" s="127"/>
      <c r="BJ491" s="176"/>
      <c r="BK491" s="184"/>
      <c r="BL491" s="130"/>
      <c r="BM491" s="185"/>
      <c r="BN491" s="69"/>
      <c r="BO491" s="85"/>
      <c r="BP491" s="85"/>
      <c r="BQ491" s="85"/>
      <c r="BR491" s="85"/>
      <c r="BS491" s="85"/>
      <c r="BT491" s="85"/>
      <c r="BU491" s="87"/>
      <c r="BV491" s="87"/>
      <c r="BW491" s="87"/>
      <c r="BX491" s="87"/>
      <c r="BY491" s="87"/>
      <c r="BZ491" s="87"/>
      <c r="CA491" s="90"/>
      <c r="CB491" s="90"/>
      <c r="CC491" s="90"/>
      <c r="CD491" s="90"/>
      <c r="CE491" s="90"/>
      <c r="CF491" s="90"/>
      <c r="CG491" s="85"/>
      <c r="CH491" s="85"/>
      <c r="CI491" s="85"/>
      <c r="CJ491" s="85"/>
      <c r="CK491" s="85"/>
      <c r="CL491" s="87"/>
      <c r="CM491" s="87"/>
      <c r="CN491" s="87"/>
      <c r="CO491" s="87"/>
      <c r="CP491" s="90"/>
      <c r="CQ491" s="90"/>
      <c r="CR491" s="90"/>
      <c r="CS491" s="90"/>
      <c r="CT491" s="85"/>
      <c r="CU491" s="85"/>
      <c r="CV491" s="85"/>
      <c r="CW491" s="85"/>
      <c r="CX491" s="85"/>
      <c r="CY491" s="85"/>
      <c r="CZ491" s="85"/>
      <c r="DA491" s="33">
        <f t="shared" si="7"/>
        <v>0</v>
      </c>
    </row>
    <row r="492" spans="36:105" ht="19" x14ac:dyDescent="0.25">
      <c r="AJ492" s="63"/>
      <c r="AK492" s="20"/>
      <c r="AL492" s="21"/>
      <c r="AM492" s="22"/>
      <c r="AN492" s="23"/>
      <c r="AO492" s="24"/>
      <c r="AP492" s="25"/>
      <c r="AQ492" s="26"/>
      <c r="AR492" s="27"/>
      <c r="AS492" s="192"/>
      <c r="AT492" s="111"/>
      <c r="AU492" s="193"/>
      <c r="AV492" s="140"/>
      <c r="AW492" s="118"/>
      <c r="AX492" s="141"/>
      <c r="AY492" s="149"/>
      <c r="AZ492" s="121"/>
      <c r="BA492" s="150"/>
      <c r="BB492" s="158"/>
      <c r="BC492" s="124"/>
      <c r="BD492" s="159"/>
      <c r="BE492" s="167"/>
      <c r="BF492" s="85"/>
      <c r="BG492" s="168"/>
      <c r="BH492" s="175"/>
      <c r="BI492" s="127"/>
      <c r="BJ492" s="176"/>
      <c r="BK492" s="184"/>
      <c r="BL492" s="130"/>
      <c r="BM492" s="185"/>
      <c r="BN492" s="69"/>
      <c r="BO492" s="85"/>
      <c r="BP492" s="85"/>
      <c r="BQ492" s="85"/>
      <c r="BR492" s="85"/>
      <c r="BS492" s="85"/>
      <c r="BT492" s="85"/>
      <c r="BU492" s="87"/>
      <c r="BV492" s="87"/>
      <c r="BW492" s="87"/>
      <c r="BX492" s="87"/>
      <c r="BY492" s="87"/>
      <c r="BZ492" s="87"/>
      <c r="CA492" s="90"/>
      <c r="CB492" s="90"/>
      <c r="CC492" s="90"/>
      <c r="CD492" s="90"/>
      <c r="CE492" s="90"/>
      <c r="CF492" s="90"/>
      <c r="CG492" s="85"/>
      <c r="CH492" s="85"/>
      <c r="CI492" s="85"/>
      <c r="CJ492" s="85"/>
      <c r="CK492" s="85"/>
      <c r="CL492" s="87"/>
      <c r="CM492" s="87"/>
      <c r="CN492" s="87"/>
      <c r="CO492" s="87"/>
      <c r="CP492" s="90"/>
      <c r="CQ492" s="90"/>
      <c r="CR492" s="90"/>
      <c r="CS492" s="90"/>
      <c r="CT492" s="85"/>
      <c r="CU492" s="85"/>
      <c r="CV492" s="85"/>
      <c r="CW492" s="85"/>
      <c r="CX492" s="85"/>
      <c r="CY492" s="85"/>
      <c r="CZ492" s="85"/>
      <c r="DA492" s="33">
        <f t="shared" si="7"/>
        <v>0</v>
      </c>
    </row>
    <row r="493" spans="36:105" ht="19" x14ac:dyDescent="0.25">
      <c r="AJ493" s="63"/>
      <c r="AK493" s="20"/>
      <c r="AL493" s="21"/>
      <c r="AM493" s="22"/>
      <c r="AN493" s="23"/>
      <c r="AO493" s="24"/>
      <c r="AP493" s="25"/>
      <c r="AQ493" s="26"/>
      <c r="AR493" s="27"/>
      <c r="AS493" s="192"/>
      <c r="AT493" s="111"/>
      <c r="AU493" s="193"/>
      <c r="AV493" s="140"/>
      <c r="AW493" s="118"/>
      <c r="AX493" s="141"/>
      <c r="AY493" s="149"/>
      <c r="AZ493" s="121"/>
      <c r="BA493" s="150"/>
      <c r="BB493" s="158"/>
      <c r="BC493" s="124"/>
      <c r="BD493" s="159"/>
      <c r="BE493" s="167"/>
      <c r="BF493" s="85"/>
      <c r="BG493" s="168"/>
      <c r="BH493" s="175"/>
      <c r="BI493" s="127"/>
      <c r="BJ493" s="176"/>
      <c r="BK493" s="184"/>
      <c r="BL493" s="130"/>
      <c r="BM493" s="185"/>
      <c r="BN493" s="69"/>
      <c r="BO493" s="85"/>
      <c r="BP493" s="85"/>
      <c r="BQ493" s="85"/>
      <c r="BR493" s="85"/>
      <c r="BS493" s="85"/>
      <c r="BT493" s="85"/>
      <c r="BU493" s="87"/>
      <c r="BV493" s="87"/>
      <c r="BW493" s="87"/>
      <c r="BX493" s="87"/>
      <c r="BY493" s="87"/>
      <c r="BZ493" s="87"/>
      <c r="CA493" s="90"/>
      <c r="CB493" s="90"/>
      <c r="CC493" s="90"/>
      <c r="CD493" s="90"/>
      <c r="CE493" s="90"/>
      <c r="CF493" s="90"/>
      <c r="CG493" s="85"/>
      <c r="CH493" s="85"/>
      <c r="CI493" s="85"/>
      <c r="CJ493" s="85"/>
      <c r="CK493" s="85"/>
      <c r="CL493" s="87"/>
      <c r="CM493" s="87"/>
      <c r="CN493" s="87"/>
      <c r="CO493" s="87"/>
      <c r="CP493" s="90"/>
      <c r="CQ493" s="90"/>
      <c r="CR493" s="90"/>
      <c r="CS493" s="90"/>
      <c r="CT493" s="85"/>
      <c r="CU493" s="85"/>
      <c r="CV493" s="85"/>
      <c r="CW493" s="85"/>
      <c r="CX493" s="85"/>
      <c r="CY493" s="85"/>
      <c r="CZ493" s="85"/>
      <c r="DA493" s="33">
        <f t="shared" si="7"/>
        <v>0</v>
      </c>
    </row>
    <row r="494" spans="36:105" ht="19" x14ac:dyDescent="0.25">
      <c r="AJ494" s="63"/>
      <c r="AK494" s="20"/>
      <c r="AL494" s="21"/>
      <c r="AM494" s="22"/>
      <c r="AN494" s="23"/>
      <c r="AO494" s="24"/>
      <c r="AP494" s="25"/>
      <c r="AQ494" s="26"/>
      <c r="AR494" s="27"/>
      <c r="AS494" s="192"/>
      <c r="AT494" s="111"/>
      <c r="AU494" s="193"/>
      <c r="AV494" s="140"/>
      <c r="AW494" s="118"/>
      <c r="AX494" s="141"/>
      <c r="AY494" s="149"/>
      <c r="AZ494" s="121"/>
      <c r="BA494" s="150"/>
      <c r="BB494" s="158"/>
      <c r="BC494" s="124"/>
      <c r="BD494" s="159"/>
      <c r="BE494" s="167"/>
      <c r="BF494" s="85"/>
      <c r="BG494" s="168"/>
      <c r="BH494" s="175"/>
      <c r="BI494" s="127"/>
      <c r="BJ494" s="176"/>
      <c r="BK494" s="184"/>
      <c r="BL494" s="130"/>
      <c r="BM494" s="185"/>
      <c r="BN494" s="69"/>
      <c r="BO494" s="85"/>
      <c r="BP494" s="85"/>
      <c r="BQ494" s="85"/>
      <c r="BR494" s="85"/>
      <c r="BS494" s="85"/>
      <c r="BT494" s="85"/>
      <c r="BU494" s="87"/>
      <c r="BV494" s="87"/>
      <c r="BW494" s="87"/>
      <c r="BX494" s="87"/>
      <c r="BY494" s="87"/>
      <c r="BZ494" s="87"/>
      <c r="CA494" s="90"/>
      <c r="CB494" s="90"/>
      <c r="CC494" s="90"/>
      <c r="CD494" s="90"/>
      <c r="CE494" s="90"/>
      <c r="CF494" s="90"/>
      <c r="CG494" s="85"/>
      <c r="CH494" s="85"/>
      <c r="CI494" s="85"/>
      <c r="CJ494" s="85"/>
      <c r="CK494" s="85"/>
      <c r="CL494" s="87"/>
      <c r="CM494" s="87"/>
      <c r="CN494" s="87"/>
      <c r="CO494" s="87"/>
      <c r="CP494" s="90"/>
      <c r="CQ494" s="90"/>
      <c r="CR494" s="90"/>
      <c r="CS494" s="90"/>
      <c r="CT494" s="85"/>
      <c r="CU494" s="85"/>
      <c r="CV494" s="85"/>
      <c r="CW494" s="85"/>
      <c r="CX494" s="85"/>
      <c r="CY494" s="85"/>
      <c r="CZ494" s="85"/>
      <c r="DA494" s="33">
        <f t="shared" si="7"/>
        <v>0</v>
      </c>
    </row>
    <row r="495" spans="36:105" ht="19" x14ac:dyDescent="0.25">
      <c r="AJ495" s="63"/>
      <c r="AK495" s="20"/>
      <c r="AL495" s="21"/>
      <c r="AM495" s="22"/>
      <c r="AN495" s="23"/>
      <c r="AO495" s="24"/>
      <c r="AP495" s="25"/>
      <c r="AQ495" s="26"/>
      <c r="AR495" s="27"/>
      <c r="AS495" s="192"/>
      <c r="AT495" s="111"/>
      <c r="AU495" s="193"/>
      <c r="AV495" s="140"/>
      <c r="AW495" s="118"/>
      <c r="AX495" s="141"/>
      <c r="AY495" s="149"/>
      <c r="AZ495" s="121"/>
      <c r="BA495" s="150"/>
      <c r="BB495" s="158"/>
      <c r="BC495" s="124"/>
      <c r="BD495" s="159"/>
      <c r="BE495" s="167"/>
      <c r="BF495" s="85"/>
      <c r="BG495" s="168"/>
      <c r="BH495" s="175"/>
      <c r="BI495" s="127"/>
      <c r="BJ495" s="176"/>
      <c r="BK495" s="184"/>
      <c r="BL495" s="130"/>
      <c r="BM495" s="185"/>
      <c r="BN495" s="69"/>
      <c r="BO495" s="85"/>
      <c r="BP495" s="85"/>
      <c r="BQ495" s="85"/>
      <c r="BR495" s="85"/>
      <c r="BS495" s="85"/>
      <c r="BT495" s="85"/>
      <c r="BU495" s="87"/>
      <c r="BV495" s="87"/>
      <c r="BW495" s="87"/>
      <c r="BX495" s="87"/>
      <c r="BY495" s="87"/>
      <c r="BZ495" s="87"/>
      <c r="CA495" s="90"/>
      <c r="CB495" s="90"/>
      <c r="CC495" s="90"/>
      <c r="CD495" s="90"/>
      <c r="CE495" s="90"/>
      <c r="CF495" s="90"/>
      <c r="CG495" s="85"/>
      <c r="CH495" s="85"/>
      <c r="CI495" s="85"/>
      <c r="CJ495" s="85"/>
      <c r="CK495" s="85"/>
      <c r="CL495" s="87"/>
      <c r="CM495" s="87"/>
      <c r="CN495" s="87"/>
      <c r="CO495" s="87"/>
      <c r="CP495" s="90"/>
      <c r="CQ495" s="90"/>
      <c r="CR495" s="90"/>
      <c r="CS495" s="90"/>
      <c r="CT495" s="85"/>
      <c r="CU495" s="85"/>
      <c r="CV495" s="85"/>
      <c r="CW495" s="85"/>
      <c r="CX495" s="85"/>
      <c r="CY495" s="85"/>
      <c r="CZ495" s="85"/>
      <c r="DA495" s="33">
        <f t="shared" si="7"/>
        <v>0</v>
      </c>
    </row>
    <row r="496" spans="36:105" ht="19" x14ac:dyDescent="0.25">
      <c r="AJ496" s="63"/>
      <c r="AK496" s="20"/>
      <c r="AL496" s="21"/>
      <c r="AM496" s="22"/>
      <c r="AN496" s="23"/>
      <c r="AO496" s="24"/>
      <c r="AP496" s="25"/>
      <c r="AQ496" s="26"/>
      <c r="AR496" s="27"/>
      <c r="AS496" s="192"/>
      <c r="AT496" s="111"/>
      <c r="AU496" s="193"/>
      <c r="AV496" s="140"/>
      <c r="AW496" s="118"/>
      <c r="AX496" s="141"/>
      <c r="AY496" s="149"/>
      <c r="AZ496" s="121"/>
      <c r="BA496" s="150"/>
      <c r="BB496" s="158"/>
      <c r="BC496" s="124"/>
      <c r="BD496" s="159"/>
      <c r="BE496" s="167"/>
      <c r="BF496" s="85"/>
      <c r="BG496" s="168"/>
      <c r="BH496" s="175"/>
      <c r="BI496" s="127"/>
      <c r="BJ496" s="176"/>
      <c r="BK496" s="184"/>
      <c r="BL496" s="130"/>
      <c r="BM496" s="185"/>
      <c r="BN496" s="69"/>
      <c r="BO496" s="85"/>
      <c r="BP496" s="85"/>
      <c r="BQ496" s="85"/>
      <c r="BR496" s="85"/>
      <c r="BS496" s="85"/>
      <c r="BT496" s="85"/>
      <c r="BU496" s="87"/>
      <c r="BV496" s="87"/>
      <c r="BW496" s="87"/>
      <c r="BX496" s="87"/>
      <c r="BY496" s="87"/>
      <c r="BZ496" s="87"/>
      <c r="CA496" s="90"/>
      <c r="CB496" s="90"/>
      <c r="CC496" s="90"/>
      <c r="CD496" s="90"/>
      <c r="CE496" s="90"/>
      <c r="CF496" s="90"/>
      <c r="CG496" s="85"/>
      <c r="CH496" s="85"/>
      <c r="CI496" s="85"/>
      <c r="CJ496" s="85"/>
      <c r="CK496" s="85"/>
      <c r="CL496" s="87"/>
      <c r="CM496" s="87"/>
      <c r="CN496" s="87"/>
      <c r="CO496" s="87"/>
      <c r="CP496" s="90"/>
      <c r="CQ496" s="90"/>
      <c r="CR496" s="90"/>
      <c r="CS496" s="90"/>
      <c r="CT496" s="85"/>
      <c r="CU496" s="85"/>
      <c r="CV496" s="85"/>
      <c r="CW496" s="85"/>
      <c r="CX496" s="85"/>
      <c r="CY496" s="85"/>
      <c r="CZ496" s="85"/>
      <c r="DA496" s="33">
        <f t="shared" si="7"/>
        <v>0</v>
      </c>
    </row>
    <row r="497" spans="36:105" ht="19" x14ac:dyDescent="0.25">
      <c r="AJ497" s="63"/>
      <c r="AK497" s="20"/>
      <c r="AL497" s="21"/>
      <c r="AM497" s="22"/>
      <c r="AN497" s="23"/>
      <c r="AO497" s="24"/>
      <c r="AP497" s="25"/>
      <c r="AQ497" s="26"/>
      <c r="AR497" s="27"/>
      <c r="AS497" s="192"/>
      <c r="AT497" s="111"/>
      <c r="AU497" s="193"/>
      <c r="AV497" s="140"/>
      <c r="AW497" s="118"/>
      <c r="AX497" s="141"/>
      <c r="AY497" s="149"/>
      <c r="AZ497" s="121"/>
      <c r="BA497" s="150"/>
      <c r="BB497" s="158"/>
      <c r="BC497" s="124"/>
      <c r="BD497" s="159"/>
      <c r="BE497" s="167"/>
      <c r="BF497" s="85"/>
      <c r="BG497" s="168"/>
      <c r="BH497" s="175"/>
      <c r="BI497" s="127"/>
      <c r="BJ497" s="176"/>
      <c r="BK497" s="184"/>
      <c r="BL497" s="130"/>
      <c r="BM497" s="185"/>
      <c r="BN497" s="69"/>
      <c r="BO497" s="85"/>
      <c r="BP497" s="85"/>
      <c r="BQ497" s="85"/>
      <c r="BR497" s="85"/>
      <c r="BS497" s="85"/>
      <c r="BT497" s="85"/>
      <c r="BU497" s="87"/>
      <c r="BV497" s="87"/>
      <c r="BW497" s="87"/>
      <c r="BX497" s="87"/>
      <c r="BY497" s="87"/>
      <c r="BZ497" s="87"/>
      <c r="CA497" s="90"/>
      <c r="CB497" s="90"/>
      <c r="CC497" s="90"/>
      <c r="CD497" s="90"/>
      <c r="CE497" s="90"/>
      <c r="CF497" s="90"/>
      <c r="CG497" s="85"/>
      <c r="CH497" s="85"/>
      <c r="CI497" s="85"/>
      <c r="CJ497" s="85"/>
      <c r="CK497" s="85"/>
      <c r="CL497" s="87"/>
      <c r="CM497" s="87"/>
      <c r="CN497" s="87"/>
      <c r="CO497" s="87"/>
      <c r="CP497" s="90"/>
      <c r="CQ497" s="90"/>
      <c r="CR497" s="90"/>
      <c r="CS497" s="90"/>
      <c r="CT497" s="85"/>
      <c r="CU497" s="85"/>
      <c r="CV497" s="85"/>
      <c r="CW497" s="85"/>
      <c r="CX497" s="85"/>
      <c r="CY497" s="85"/>
      <c r="CZ497" s="85"/>
      <c r="DA497" s="33">
        <f t="shared" si="7"/>
        <v>0</v>
      </c>
    </row>
    <row r="498" spans="36:105" ht="19" x14ac:dyDescent="0.25">
      <c r="AJ498" s="63"/>
      <c r="AK498" s="20"/>
      <c r="AL498" s="21"/>
      <c r="AM498" s="22"/>
      <c r="AN498" s="23"/>
      <c r="AO498" s="24"/>
      <c r="AP498" s="25"/>
      <c r="AQ498" s="26"/>
      <c r="AR498" s="27"/>
      <c r="AS498" s="192"/>
      <c r="AT498" s="111"/>
      <c r="AU498" s="193"/>
      <c r="AV498" s="140"/>
      <c r="AW498" s="118"/>
      <c r="AX498" s="141"/>
      <c r="AY498" s="149"/>
      <c r="AZ498" s="121"/>
      <c r="BA498" s="150"/>
      <c r="BB498" s="158"/>
      <c r="BC498" s="124"/>
      <c r="BD498" s="159"/>
      <c r="BE498" s="167"/>
      <c r="BF498" s="85"/>
      <c r="BG498" s="168"/>
      <c r="BH498" s="175"/>
      <c r="BI498" s="127"/>
      <c r="BJ498" s="176"/>
      <c r="BK498" s="184"/>
      <c r="BL498" s="130"/>
      <c r="BM498" s="185"/>
      <c r="BN498" s="69"/>
      <c r="BO498" s="85"/>
      <c r="BP498" s="85"/>
      <c r="BQ498" s="85"/>
      <c r="BR498" s="85"/>
      <c r="BS498" s="85"/>
      <c r="BT498" s="85"/>
      <c r="BU498" s="87"/>
      <c r="BV498" s="87"/>
      <c r="BW498" s="87"/>
      <c r="BX498" s="87"/>
      <c r="BY498" s="87"/>
      <c r="BZ498" s="87"/>
      <c r="CA498" s="90"/>
      <c r="CB498" s="90"/>
      <c r="CC498" s="90"/>
      <c r="CD498" s="90"/>
      <c r="CE498" s="90"/>
      <c r="CF498" s="90"/>
      <c r="CG498" s="85"/>
      <c r="CH498" s="85"/>
      <c r="CI498" s="85"/>
      <c r="CJ498" s="85"/>
      <c r="CK498" s="85"/>
      <c r="CL498" s="87"/>
      <c r="CM498" s="87"/>
      <c r="CN498" s="87"/>
      <c r="CO498" s="87"/>
      <c r="CP498" s="90"/>
      <c r="CQ498" s="90"/>
      <c r="CR498" s="90"/>
      <c r="CS498" s="90"/>
      <c r="CT498" s="85"/>
      <c r="CU498" s="85"/>
      <c r="CV498" s="85"/>
      <c r="CW498" s="85"/>
      <c r="CX498" s="85"/>
      <c r="CY498" s="85"/>
      <c r="CZ498" s="85"/>
      <c r="DA498" s="33">
        <f t="shared" si="7"/>
        <v>0</v>
      </c>
    </row>
    <row r="499" spans="36:105" ht="19" x14ac:dyDescent="0.25">
      <c r="AJ499" s="63"/>
      <c r="AK499" s="20"/>
      <c r="AL499" s="21"/>
      <c r="AM499" s="22"/>
      <c r="AN499" s="23"/>
      <c r="AO499" s="24"/>
      <c r="AP499" s="25"/>
      <c r="AQ499" s="26"/>
      <c r="AR499" s="27"/>
      <c r="AS499" s="192"/>
      <c r="AT499" s="111"/>
      <c r="AU499" s="193"/>
      <c r="AV499" s="140"/>
      <c r="AW499" s="118"/>
      <c r="AX499" s="141"/>
      <c r="AY499" s="149"/>
      <c r="AZ499" s="121"/>
      <c r="BA499" s="150"/>
      <c r="BB499" s="158"/>
      <c r="BC499" s="124"/>
      <c r="BD499" s="159"/>
      <c r="BE499" s="167"/>
      <c r="BF499" s="85"/>
      <c r="BG499" s="168"/>
      <c r="BH499" s="175"/>
      <c r="BI499" s="127"/>
      <c r="BJ499" s="176"/>
      <c r="BK499" s="184"/>
      <c r="BL499" s="130"/>
      <c r="BM499" s="185"/>
      <c r="BN499" s="69"/>
      <c r="BO499" s="85"/>
      <c r="BP499" s="85"/>
      <c r="BQ499" s="85"/>
      <c r="BR499" s="85"/>
      <c r="BS499" s="85"/>
      <c r="BT499" s="85"/>
      <c r="BU499" s="87"/>
      <c r="BV499" s="87"/>
      <c r="BW499" s="87"/>
      <c r="BX499" s="87"/>
      <c r="BY499" s="87"/>
      <c r="BZ499" s="87"/>
      <c r="CA499" s="90"/>
      <c r="CB499" s="90"/>
      <c r="CC499" s="90"/>
      <c r="CD499" s="90"/>
      <c r="CE499" s="90"/>
      <c r="CF499" s="90"/>
      <c r="CG499" s="85"/>
      <c r="CH499" s="85"/>
      <c r="CI499" s="85"/>
      <c r="CJ499" s="85"/>
      <c r="CK499" s="85"/>
      <c r="CL499" s="87"/>
      <c r="CM499" s="87"/>
      <c r="CN499" s="87"/>
      <c r="CO499" s="87"/>
      <c r="CP499" s="90"/>
      <c r="CQ499" s="90"/>
      <c r="CR499" s="90"/>
      <c r="CS499" s="90"/>
      <c r="CT499" s="85"/>
      <c r="CU499" s="85"/>
      <c r="CV499" s="85"/>
      <c r="CW499" s="85"/>
      <c r="CX499" s="85"/>
      <c r="CY499" s="85"/>
      <c r="CZ499" s="85"/>
      <c r="DA499" s="33">
        <f t="shared" si="7"/>
        <v>0</v>
      </c>
    </row>
    <row r="500" spans="36:105" ht="19" x14ac:dyDescent="0.25">
      <c r="AJ500" s="63"/>
      <c r="AK500" s="20"/>
      <c r="AL500" s="21"/>
      <c r="AM500" s="22"/>
      <c r="AN500" s="23"/>
      <c r="AO500" s="24"/>
      <c r="AP500" s="25"/>
      <c r="AQ500" s="26"/>
      <c r="AR500" s="27"/>
      <c r="AS500" s="192"/>
      <c r="AT500" s="111"/>
      <c r="AU500" s="193"/>
      <c r="AV500" s="140"/>
      <c r="AW500" s="118"/>
      <c r="AX500" s="141"/>
      <c r="AY500" s="149"/>
      <c r="AZ500" s="121"/>
      <c r="BA500" s="150"/>
      <c r="BB500" s="158"/>
      <c r="BC500" s="124"/>
      <c r="BD500" s="159"/>
      <c r="BE500" s="167"/>
      <c r="BF500" s="85"/>
      <c r="BG500" s="168"/>
      <c r="BH500" s="175"/>
      <c r="BI500" s="127"/>
      <c r="BJ500" s="176"/>
      <c r="BK500" s="184"/>
      <c r="BL500" s="130"/>
      <c r="BM500" s="185"/>
      <c r="BN500" s="69"/>
      <c r="BO500" s="85"/>
      <c r="BP500" s="85"/>
      <c r="BQ500" s="85"/>
      <c r="BR500" s="85"/>
      <c r="BS500" s="85"/>
      <c r="BT500" s="85"/>
      <c r="BU500" s="87"/>
      <c r="BV500" s="87"/>
      <c r="BW500" s="87"/>
      <c r="BX500" s="87"/>
      <c r="BY500" s="87"/>
      <c r="BZ500" s="87"/>
      <c r="CA500" s="90"/>
      <c r="CB500" s="90"/>
      <c r="CC500" s="90"/>
      <c r="CD500" s="90"/>
      <c r="CE500" s="90"/>
      <c r="CF500" s="90"/>
      <c r="CG500" s="85"/>
      <c r="CH500" s="85"/>
      <c r="CI500" s="85"/>
      <c r="CJ500" s="85"/>
      <c r="CK500" s="85"/>
      <c r="CL500" s="87"/>
      <c r="CM500" s="87"/>
      <c r="CN500" s="87"/>
      <c r="CO500" s="87"/>
      <c r="CP500" s="90"/>
      <c r="CQ500" s="90"/>
      <c r="CR500" s="90"/>
      <c r="CS500" s="90"/>
      <c r="CT500" s="85"/>
      <c r="CU500" s="85"/>
      <c r="CV500" s="85"/>
      <c r="CW500" s="85"/>
      <c r="CX500" s="85"/>
      <c r="CY500" s="85"/>
      <c r="CZ500" s="85"/>
      <c r="DA500" s="33">
        <f t="shared" si="7"/>
        <v>0</v>
      </c>
    </row>
    <row r="501" spans="36:105" ht="19" x14ac:dyDescent="0.25">
      <c r="AJ501" s="63"/>
      <c r="AK501" s="20"/>
      <c r="AL501" s="21"/>
      <c r="AM501" s="22"/>
      <c r="AN501" s="23"/>
      <c r="AO501" s="24"/>
      <c r="AP501" s="25"/>
      <c r="AQ501" s="26"/>
      <c r="AR501" s="27"/>
      <c r="AS501" s="192"/>
      <c r="AT501" s="111"/>
      <c r="AU501" s="193"/>
      <c r="AV501" s="140"/>
      <c r="AW501" s="118"/>
      <c r="AX501" s="141"/>
      <c r="AY501" s="149"/>
      <c r="AZ501" s="121"/>
      <c r="BA501" s="150"/>
      <c r="BB501" s="158"/>
      <c r="BC501" s="124"/>
      <c r="BD501" s="159"/>
      <c r="BE501" s="167"/>
      <c r="BF501" s="85"/>
      <c r="BG501" s="168"/>
      <c r="BH501" s="175"/>
      <c r="BI501" s="127"/>
      <c r="BJ501" s="176"/>
      <c r="BK501" s="184"/>
      <c r="BL501" s="130"/>
      <c r="BM501" s="185"/>
      <c r="BN501" s="69"/>
      <c r="BO501" s="85"/>
      <c r="BP501" s="85"/>
      <c r="BQ501" s="85"/>
      <c r="BR501" s="85"/>
      <c r="BS501" s="85"/>
      <c r="BT501" s="85"/>
      <c r="BU501" s="87"/>
      <c r="BV501" s="87"/>
      <c r="BW501" s="87"/>
      <c r="BX501" s="87"/>
      <c r="BY501" s="87"/>
      <c r="BZ501" s="87"/>
      <c r="CA501" s="90"/>
      <c r="CB501" s="90"/>
      <c r="CC501" s="90"/>
      <c r="CD501" s="90"/>
      <c r="CE501" s="90"/>
      <c r="CF501" s="90"/>
      <c r="CG501" s="85"/>
      <c r="CH501" s="85"/>
      <c r="CI501" s="85"/>
      <c r="CJ501" s="85"/>
      <c r="CK501" s="85"/>
      <c r="CL501" s="87"/>
      <c r="CM501" s="87"/>
      <c r="CN501" s="87"/>
      <c r="CO501" s="87"/>
      <c r="CP501" s="90"/>
      <c r="CQ501" s="90"/>
      <c r="CR501" s="90"/>
      <c r="CS501" s="90"/>
      <c r="CT501" s="85"/>
      <c r="CU501" s="85"/>
      <c r="CV501" s="85"/>
      <c r="CW501" s="85"/>
      <c r="CX501" s="85"/>
      <c r="CY501" s="85"/>
      <c r="CZ501" s="85"/>
      <c r="DA501" s="33">
        <f t="shared" si="7"/>
        <v>0</v>
      </c>
    </row>
    <row r="502" spans="36:105" ht="19" x14ac:dyDescent="0.25">
      <c r="AJ502" s="63"/>
      <c r="AK502" s="20"/>
      <c r="AL502" s="21"/>
      <c r="AM502" s="22"/>
      <c r="AN502" s="23"/>
      <c r="AO502" s="24"/>
      <c r="AP502" s="25"/>
      <c r="AQ502" s="26"/>
      <c r="AR502" s="27"/>
      <c r="AS502" s="192"/>
      <c r="AT502" s="111"/>
      <c r="AU502" s="193"/>
      <c r="AV502" s="140"/>
      <c r="AW502" s="118"/>
      <c r="AX502" s="141"/>
      <c r="AY502" s="149"/>
      <c r="AZ502" s="121"/>
      <c r="BA502" s="150"/>
      <c r="BB502" s="158"/>
      <c r="BC502" s="124"/>
      <c r="BD502" s="159"/>
      <c r="BE502" s="167"/>
      <c r="BF502" s="85"/>
      <c r="BG502" s="168"/>
      <c r="BH502" s="175"/>
      <c r="BI502" s="127"/>
      <c r="BJ502" s="176"/>
      <c r="BK502" s="184"/>
      <c r="BL502" s="130"/>
      <c r="BM502" s="185"/>
      <c r="BN502" s="69"/>
      <c r="BO502" s="85"/>
      <c r="BP502" s="85"/>
      <c r="BQ502" s="85"/>
      <c r="BR502" s="85"/>
      <c r="BS502" s="85"/>
      <c r="BT502" s="85"/>
      <c r="BU502" s="87"/>
      <c r="BV502" s="87"/>
      <c r="BW502" s="87"/>
      <c r="BX502" s="87"/>
      <c r="BY502" s="87"/>
      <c r="BZ502" s="87"/>
      <c r="CA502" s="90"/>
      <c r="CB502" s="90"/>
      <c r="CC502" s="90"/>
      <c r="CD502" s="90"/>
      <c r="CE502" s="90"/>
      <c r="CF502" s="90"/>
      <c r="CG502" s="85"/>
      <c r="CH502" s="85"/>
      <c r="CI502" s="85"/>
      <c r="CJ502" s="85"/>
      <c r="CK502" s="85"/>
      <c r="CL502" s="87"/>
      <c r="CM502" s="87"/>
      <c r="CN502" s="87"/>
      <c r="CO502" s="87"/>
      <c r="CP502" s="90"/>
      <c r="CQ502" s="90"/>
      <c r="CR502" s="90"/>
      <c r="CS502" s="90"/>
      <c r="CT502" s="85"/>
      <c r="CU502" s="85"/>
      <c r="CV502" s="85"/>
      <c r="CW502" s="85"/>
      <c r="CX502" s="85"/>
      <c r="CY502" s="85"/>
      <c r="CZ502" s="85"/>
      <c r="DA502" s="33">
        <f t="shared" si="7"/>
        <v>0</v>
      </c>
    </row>
    <row r="503" spans="36:105" ht="19" x14ac:dyDescent="0.25">
      <c r="AJ503" s="63"/>
      <c r="AK503" s="20"/>
      <c r="AL503" s="21"/>
      <c r="AM503" s="22"/>
      <c r="AN503" s="23"/>
      <c r="AO503" s="24"/>
      <c r="AP503" s="25"/>
      <c r="AQ503" s="26"/>
      <c r="AR503" s="27"/>
      <c r="AS503" s="192"/>
      <c r="AT503" s="111"/>
      <c r="AU503" s="193"/>
      <c r="AV503" s="140"/>
      <c r="AW503" s="118"/>
      <c r="AX503" s="141"/>
      <c r="AY503" s="149"/>
      <c r="AZ503" s="121"/>
      <c r="BA503" s="150"/>
      <c r="BB503" s="158"/>
      <c r="BC503" s="124"/>
      <c r="BD503" s="159"/>
      <c r="BE503" s="167"/>
      <c r="BF503" s="85"/>
      <c r="BG503" s="168"/>
      <c r="BH503" s="175"/>
      <c r="BI503" s="127"/>
      <c r="BJ503" s="176"/>
      <c r="BK503" s="184"/>
      <c r="BL503" s="130"/>
      <c r="BM503" s="185"/>
      <c r="BN503" s="69"/>
      <c r="BO503" s="85"/>
      <c r="BP503" s="85"/>
      <c r="BQ503" s="85"/>
      <c r="BR503" s="85"/>
      <c r="BS503" s="85"/>
      <c r="BT503" s="85"/>
      <c r="BU503" s="87"/>
      <c r="BV503" s="87"/>
      <c r="BW503" s="87"/>
      <c r="BX503" s="87"/>
      <c r="BY503" s="87"/>
      <c r="BZ503" s="87"/>
      <c r="CA503" s="90"/>
      <c r="CB503" s="90"/>
      <c r="CC503" s="90"/>
      <c r="CD503" s="90"/>
      <c r="CE503" s="90"/>
      <c r="CF503" s="90"/>
      <c r="CG503" s="85"/>
      <c r="CH503" s="85"/>
      <c r="CI503" s="85"/>
      <c r="CJ503" s="85"/>
      <c r="CK503" s="85"/>
      <c r="CL503" s="87"/>
      <c r="CM503" s="87"/>
      <c r="CN503" s="87"/>
      <c r="CO503" s="87"/>
      <c r="CP503" s="90"/>
      <c r="CQ503" s="90"/>
      <c r="CR503" s="90"/>
      <c r="CS503" s="90"/>
      <c r="CT503" s="85"/>
      <c r="CU503" s="85"/>
      <c r="CV503" s="85"/>
      <c r="CW503" s="85"/>
      <c r="CX503" s="85"/>
      <c r="CY503" s="85"/>
      <c r="CZ503" s="85"/>
      <c r="DA503" s="33">
        <f t="shared" si="7"/>
        <v>0</v>
      </c>
    </row>
    <row r="504" spans="36:105" ht="19" x14ac:dyDescent="0.25">
      <c r="AJ504" s="63"/>
      <c r="AK504" s="20"/>
      <c r="AL504" s="21"/>
      <c r="AM504" s="22"/>
      <c r="AN504" s="23"/>
      <c r="AO504" s="24"/>
      <c r="AP504" s="25"/>
      <c r="AQ504" s="26"/>
      <c r="AR504" s="27"/>
      <c r="AS504" s="192"/>
      <c r="AT504" s="111"/>
      <c r="AU504" s="193"/>
      <c r="AV504" s="140"/>
      <c r="AW504" s="118"/>
      <c r="AX504" s="141"/>
      <c r="AY504" s="149"/>
      <c r="AZ504" s="121"/>
      <c r="BA504" s="150"/>
      <c r="BB504" s="158"/>
      <c r="BC504" s="124"/>
      <c r="BD504" s="159"/>
      <c r="BE504" s="167"/>
      <c r="BF504" s="85"/>
      <c r="BG504" s="168"/>
      <c r="BH504" s="175"/>
      <c r="BI504" s="127"/>
      <c r="BJ504" s="176"/>
      <c r="BK504" s="184"/>
      <c r="BL504" s="130"/>
      <c r="BM504" s="185"/>
      <c r="BN504" s="69"/>
      <c r="BO504" s="85"/>
      <c r="BP504" s="85"/>
      <c r="BQ504" s="85"/>
      <c r="BR504" s="85"/>
      <c r="BS504" s="85"/>
      <c r="BT504" s="85"/>
      <c r="BU504" s="87"/>
      <c r="BV504" s="87"/>
      <c r="BW504" s="87"/>
      <c r="BX504" s="87"/>
      <c r="BY504" s="87"/>
      <c r="BZ504" s="87"/>
      <c r="CA504" s="90"/>
      <c r="CB504" s="90"/>
      <c r="CC504" s="90"/>
      <c r="CD504" s="90"/>
      <c r="CE504" s="90"/>
      <c r="CF504" s="90"/>
      <c r="CG504" s="85"/>
      <c r="CH504" s="85"/>
      <c r="CI504" s="85"/>
      <c r="CJ504" s="85"/>
      <c r="CK504" s="85"/>
      <c r="CL504" s="87"/>
      <c r="CM504" s="87"/>
      <c r="CN504" s="87"/>
      <c r="CO504" s="87"/>
      <c r="CP504" s="90"/>
      <c r="CQ504" s="90"/>
      <c r="CR504" s="90"/>
      <c r="CS504" s="90"/>
      <c r="CT504" s="85"/>
      <c r="CU504" s="85"/>
      <c r="CV504" s="85"/>
      <c r="CW504" s="85"/>
      <c r="CX504" s="85"/>
      <c r="CY504" s="85"/>
      <c r="CZ504" s="85"/>
      <c r="DA504" s="33">
        <f t="shared" si="7"/>
        <v>0</v>
      </c>
    </row>
    <row r="505" spans="36:105" ht="19" x14ac:dyDescent="0.25">
      <c r="AJ505" s="63"/>
      <c r="AK505" s="20"/>
      <c r="AL505" s="21"/>
      <c r="AM505" s="22"/>
      <c r="AN505" s="23"/>
      <c r="AO505" s="24"/>
      <c r="AP505" s="25"/>
      <c r="AQ505" s="26"/>
      <c r="AR505" s="27"/>
      <c r="AS505" s="192"/>
      <c r="AT505" s="111"/>
      <c r="AU505" s="193"/>
      <c r="AV505" s="140"/>
      <c r="AW505" s="118"/>
      <c r="AX505" s="141"/>
      <c r="AY505" s="149"/>
      <c r="AZ505" s="121"/>
      <c r="BA505" s="150"/>
      <c r="BB505" s="158"/>
      <c r="BC505" s="124"/>
      <c r="BD505" s="159"/>
      <c r="BE505" s="167"/>
      <c r="BF505" s="85"/>
      <c r="BG505" s="168"/>
      <c r="BH505" s="175"/>
      <c r="BI505" s="127"/>
      <c r="BJ505" s="176"/>
      <c r="BK505" s="184"/>
      <c r="BL505" s="130"/>
      <c r="BM505" s="185"/>
      <c r="BN505" s="69"/>
      <c r="BO505" s="85"/>
      <c r="BP505" s="85"/>
      <c r="BQ505" s="85"/>
      <c r="BR505" s="85"/>
      <c r="BS505" s="85"/>
      <c r="BT505" s="85"/>
      <c r="BU505" s="87"/>
      <c r="BV505" s="87"/>
      <c r="BW505" s="87"/>
      <c r="BX505" s="87"/>
      <c r="BY505" s="87"/>
      <c r="BZ505" s="87"/>
      <c r="CA505" s="90"/>
      <c r="CB505" s="90"/>
      <c r="CC505" s="90"/>
      <c r="CD505" s="90"/>
      <c r="CE505" s="90"/>
      <c r="CF505" s="90"/>
      <c r="CG505" s="85"/>
      <c r="CH505" s="85"/>
      <c r="CI505" s="85"/>
      <c r="CJ505" s="85"/>
      <c r="CK505" s="85"/>
      <c r="CL505" s="87"/>
      <c r="CM505" s="87"/>
      <c r="CN505" s="87"/>
      <c r="CO505" s="87"/>
      <c r="CP505" s="90"/>
      <c r="CQ505" s="90"/>
      <c r="CR505" s="90"/>
      <c r="CS505" s="90"/>
      <c r="CT505" s="85"/>
      <c r="CU505" s="85"/>
      <c r="CV505" s="85"/>
      <c r="CW505" s="85"/>
      <c r="CX505" s="85"/>
      <c r="CY505" s="85"/>
      <c r="CZ505" s="85"/>
      <c r="DA505" s="33">
        <f t="shared" si="7"/>
        <v>0</v>
      </c>
    </row>
    <row r="506" spans="36:105" ht="19" x14ac:dyDescent="0.25">
      <c r="AJ506" s="63"/>
      <c r="AK506" s="20"/>
      <c r="AL506" s="21"/>
      <c r="AM506" s="22"/>
      <c r="AN506" s="23"/>
      <c r="AO506" s="24"/>
      <c r="AP506" s="25"/>
      <c r="AQ506" s="26"/>
      <c r="AR506" s="27"/>
      <c r="AS506" s="192"/>
      <c r="AT506" s="111"/>
      <c r="AU506" s="193"/>
      <c r="AV506" s="140"/>
      <c r="AW506" s="118"/>
      <c r="AX506" s="141"/>
      <c r="AY506" s="149"/>
      <c r="AZ506" s="121"/>
      <c r="BA506" s="150"/>
      <c r="BB506" s="158"/>
      <c r="BC506" s="124"/>
      <c r="BD506" s="159"/>
      <c r="BE506" s="167"/>
      <c r="BF506" s="85"/>
      <c r="BG506" s="168"/>
      <c r="BH506" s="175"/>
      <c r="BI506" s="127"/>
      <c r="BJ506" s="176"/>
      <c r="BK506" s="184"/>
      <c r="BL506" s="130"/>
      <c r="BM506" s="185"/>
      <c r="BN506" s="69"/>
      <c r="BO506" s="85"/>
      <c r="BP506" s="85"/>
      <c r="BQ506" s="85"/>
      <c r="BR506" s="85"/>
      <c r="BS506" s="85"/>
      <c r="BT506" s="85"/>
      <c r="BU506" s="87"/>
      <c r="BV506" s="87"/>
      <c r="BW506" s="87"/>
      <c r="BX506" s="87"/>
      <c r="BY506" s="87"/>
      <c r="BZ506" s="87"/>
      <c r="CA506" s="90"/>
      <c r="CB506" s="90"/>
      <c r="CC506" s="90"/>
      <c r="CD506" s="90"/>
      <c r="CE506" s="90"/>
      <c r="CF506" s="90"/>
      <c r="CG506" s="85"/>
      <c r="CH506" s="85"/>
      <c r="CI506" s="85"/>
      <c r="CJ506" s="85"/>
      <c r="CK506" s="85"/>
      <c r="CL506" s="87"/>
      <c r="CM506" s="87"/>
      <c r="CN506" s="87"/>
      <c r="CO506" s="87"/>
      <c r="CP506" s="90"/>
      <c r="CQ506" s="90"/>
      <c r="CR506" s="90"/>
      <c r="CS506" s="90"/>
      <c r="CT506" s="85"/>
      <c r="CU506" s="85"/>
      <c r="CV506" s="85"/>
      <c r="CW506" s="85"/>
      <c r="CX506" s="85"/>
      <c r="CY506" s="85"/>
      <c r="CZ506" s="85"/>
      <c r="DA506" s="33">
        <f t="shared" si="7"/>
        <v>0</v>
      </c>
    </row>
    <row r="507" spans="36:105" ht="19" x14ac:dyDescent="0.25">
      <c r="AJ507" s="63"/>
      <c r="AK507" s="20"/>
      <c r="AL507" s="21"/>
      <c r="AM507" s="22"/>
      <c r="AN507" s="23"/>
      <c r="AO507" s="24"/>
      <c r="AP507" s="25"/>
      <c r="AQ507" s="26"/>
      <c r="AR507" s="27"/>
      <c r="AS507" s="192"/>
      <c r="AT507" s="111"/>
      <c r="AU507" s="193"/>
      <c r="AV507" s="140"/>
      <c r="AW507" s="118"/>
      <c r="AX507" s="141"/>
      <c r="AY507" s="149"/>
      <c r="AZ507" s="121"/>
      <c r="BA507" s="150"/>
      <c r="BB507" s="158"/>
      <c r="BC507" s="124"/>
      <c r="BD507" s="159"/>
      <c r="BE507" s="167"/>
      <c r="BF507" s="85"/>
      <c r="BG507" s="168"/>
      <c r="BH507" s="175"/>
      <c r="BI507" s="127"/>
      <c r="BJ507" s="176"/>
      <c r="BK507" s="184"/>
      <c r="BL507" s="130"/>
      <c r="BM507" s="185"/>
      <c r="BN507" s="69"/>
      <c r="BO507" s="85"/>
      <c r="BP507" s="85"/>
      <c r="BQ507" s="85"/>
      <c r="BR507" s="85"/>
      <c r="BS507" s="85"/>
      <c r="BT507" s="85"/>
      <c r="BU507" s="87"/>
      <c r="BV507" s="87"/>
      <c r="BW507" s="87"/>
      <c r="BX507" s="87"/>
      <c r="BY507" s="87"/>
      <c r="BZ507" s="87"/>
      <c r="CA507" s="90"/>
      <c r="CB507" s="90"/>
      <c r="CC507" s="90"/>
      <c r="CD507" s="90"/>
      <c r="CE507" s="90"/>
      <c r="CF507" s="90"/>
      <c r="CG507" s="85"/>
      <c r="CH507" s="85"/>
      <c r="CI507" s="85"/>
      <c r="CJ507" s="85"/>
      <c r="CK507" s="85"/>
      <c r="CL507" s="87"/>
      <c r="CM507" s="87"/>
      <c r="CN507" s="87"/>
      <c r="CO507" s="87"/>
      <c r="CP507" s="90"/>
      <c r="CQ507" s="90"/>
      <c r="CR507" s="90"/>
      <c r="CS507" s="90"/>
      <c r="CT507" s="85"/>
      <c r="CU507" s="85"/>
      <c r="CV507" s="85"/>
      <c r="CW507" s="85"/>
      <c r="CX507" s="85"/>
      <c r="CY507" s="85"/>
      <c r="CZ507" s="85"/>
      <c r="DA507" s="33">
        <f t="shared" si="7"/>
        <v>0</v>
      </c>
    </row>
    <row r="508" spans="36:105" ht="19" x14ac:dyDescent="0.25">
      <c r="AJ508" s="63"/>
      <c r="AK508" s="20"/>
      <c r="AL508" s="21"/>
      <c r="AM508" s="22"/>
      <c r="AN508" s="23"/>
      <c r="AO508" s="24"/>
      <c r="AP508" s="25"/>
      <c r="AQ508" s="26"/>
      <c r="AR508" s="27"/>
      <c r="AS508" s="192"/>
      <c r="AT508" s="111"/>
      <c r="AU508" s="193"/>
      <c r="AV508" s="140"/>
      <c r="AW508" s="118"/>
      <c r="AX508" s="141"/>
      <c r="AY508" s="149"/>
      <c r="AZ508" s="121"/>
      <c r="BA508" s="150"/>
      <c r="BB508" s="158"/>
      <c r="BC508" s="124"/>
      <c r="BD508" s="159"/>
      <c r="BE508" s="167"/>
      <c r="BF508" s="85"/>
      <c r="BG508" s="168"/>
      <c r="BH508" s="175"/>
      <c r="BI508" s="127"/>
      <c r="BJ508" s="176"/>
      <c r="BK508" s="184"/>
      <c r="BL508" s="130"/>
      <c r="BM508" s="185"/>
      <c r="BN508" s="69"/>
      <c r="BO508" s="85"/>
      <c r="BP508" s="85"/>
      <c r="BQ508" s="85"/>
      <c r="BR508" s="85"/>
      <c r="BS508" s="85"/>
      <c r="BT508" s="85"/>
      <c r="BU508" s="87"/>
      <c r="BV508" s="87"/>
      <c r="BW508" s="87"/>
      <c r="BX508" s="87"/>
      <c r="BY508" s="87"/>
      <c r="BZ508" s="87"/>
      <c r="CA508" s="90"/>
      <c r="CB508" s="90"/>
      <c r="CC508" s="90"/>
      <c r="CD508" s="90"/>
      <c r="CE508" s="90"/>
      <c r="CF508" s="90"/>
      <c r="CG508" s="85"/>
      <c r="CH508" s="85"/>
      <c r="CI508" s="85"/>
      <c r="CJ508" s="85"/>
      <c r="CK508" s="85"/>
      <c r="CL508" s="87"/>
      <c r="CM508" s="87"/>
      <c r="CN508" s="87"/>
      <c r="CO508" s="87"/>
      <c r="CP508" s="90"/>
      <c r="CQ508" s="90"/>
      <c r="CR508" s="90"/>
      <c r="CS508" s="90"/>
      <c r="CT508" s="85"/>
      <c r="CU508" s="85"/>
      <c r="CV508" s="85"/>
      <c r="CW508" s="85"/>
      <c r="CX508" s="85"/>
      <c r="CY508" s="85"/>
      <c r="CZ508" s="85"/>
      <c r="DA508" s="33">
        <f t="shared" si="7"/>
        <v>0</v>
      </c>
    </row>
    <row r="509" spans="36:105" ht="19" x14ac:dyDescent="0.25">
      <c r="AJ509" s="63"/>
      <c r="AK509" s="20"/>
      <c r="AL509" s="21"/>
      <c r="AM509" s="22"/>
      <c r="AN509" s="23"/>
      <c r="AO509" s="24"/>
      <c r="AP509" s="25"/>
      <c r="AQ509" s="26"/>
      <c r="AR509" s="27"/>
      <c r="AS509" s="192"/>
      <c r="AT509" s="111"/>
      <c r="AU509" s="193"/>
      <c r="AV509" s="140"/>
      <c r="AW509" s="118"/>
      <c r="AX509" s="141"/>
      <c r="AY509" s="149"/>
      <c r="AZ509" s="121"/>
      <c r="BA509" s="150"/>
      <c r="BB509" s="158"/>
      <c r="BC509" s="124"/>
      <c r="BD509" s="159"/>
      <c r="BE509" s="167"/>
      <c r="BF509" s="85"/>
      <c r="BG509" s="168"/>
      <c r="BH509" s="175"/>
      <c r="BI509" s="127"/>
      <c r="BJ509" s="176"/>
      <c r="BK509" s="184"/>
      <c r="BL509" s="130"/>
      <c r="BM509" s="185"/>
      <c r="BN509" s="69"/>
      <c r="BO509" s="85"/>
      <c r="BP509" s="85"/>
      <c r="BQ509" s="85"/>
      <c r="BR509" s="85"/>
      <c r="BS509" s="85"/>
      <c r="BT509" s="85"/>
      <c r="BU509" s="87"/>
      <c r="BV509" s="87"/>
      <c r="BW509" s="87"/>
      <c r="BX509" s="87"/>
      <c r="BY509" s="87"/>
      <c r="BZ509" s="87"/>
      <c r="CA509" s="90"/>
      <c r="CB509" s="90"/>
      <c r="CC509" s="90"/>
      <c r="CD509" s="90"/>
      <c r="CE509" s="90"/>
      <c r="CF509" s="90"/>
      <c r="CG509" s="85"/>
      <c r="CH509" s="85"/>
      <c r="CI509" s="85"/>
      <c r="CJ509" s="85"/>
      <c r="CK509" s="85"/>
      <c r="CL509" s="87"/>
      <c r="CM509" s="87"/>
      <c r="CN509" s="87"/>
      <c r="CO509" s="87"/>
      <c r="CP509" s="90"/>
      <c r="CQ509" s="90"/>
      <c r="CR509" s="90"/>
      <c r="CS509" s="90"/>
      <c r="CT509" s="85"/>
      <c r="CU509" s="85"/>
      <c r="CV509" s="85"/>
      <c r="CW509" s="85"/>
      <c r="CX509" s="85"/>
      <c r="CY509" s="85"/>
      <c r="CZ509" s="85"/>
      <c r="DA509" s="33">
        <f t="shared" si="7"/>
        <v>0</v>
      </c>
    </row>
    <row r="510" spans="36:105" ht="19" x14ac:dyDescent="0.25">
      <c r="AJ510" s="63"/>
      <c r="AK510" s="20"/>
      <c r="AL510" s="21"/>
      <c r="AM510" s="22"/>
      <c r="AN510" s="23"/>
      <c r="AO510" s="24"/>
      <c r="AP510" s="25"/>
      <c r="AQ510" s="26"/>
      <c r="AR510" s="27"/>
      <c r="AS510" s="192"/>
      <c r="AT510" s="111"/>
      <c r="AU510" s="193"/>
      <c r="AV510" s="140"/>
      <c r="AW510" s="118"/>
      <c r="AX510" s="141"/>
      <c r="AY510" s="149"/>
      <c r="AZ510" s="121"/>
      <c r="BA510" s="150"/>
      <c r="BB510" s="158"/>
      <c r="BC510" s="124"/>
      <c r="BD510" s="159"/>
      <c r="BE510" s="167"/>
      <c r="BF510" s="85"/>
      <c r="BG510" s="168"/>
      <c r="BH510" s="175"/>
      <c r="BI510" s="127"/>
      <c r="BJ510" s="176"/>
      <c r="BK510" s="184"/>
      <c r="BL510" s="130"/>
      <c r="BM510" s="185"/>
      <c r="BN510" s="69"/>
      <c r="BO510" s="85"/>
      <c r="BP510" s="85"/>
      <c r="BQ510" s="85"/>
      <c r="BR510" s="85"/>
      <c r="BS510" s="85"/>
      <c r="BT510" s="85"/>
      <c r="BU510" s="87"/>
      <c r="BV510" s="87"/>
      <c r="BW510" s="87"/>
      <c r="BX510" s="87"/>
      <c r="BY510" s="87"/>
      <c r="BZ510" s="87"/>
      <c r="CA510" s="90"/>
      <c r="CB510" s="90"/>
      <c r="CC510" s="90"/>
      <c r="CD510" s="90"/>
      <c r="CE510" s="90"/>
      <c r="CF510" s="90"/>
      <c r="CG510" s="85"/>
      <c r="CH510" s="85"/>
      <c r="CI510" s="85"/>
      <c r="CJ510" s="85"/>
      <c r="CK510" s="85"/>
      <c r="CL510" s="87"/>
      <c r="CM510" s="87"/>
      <c r="CN510" s="87"/>
      <c r="CO510" s="87"/>
      <c r="CP510" s="90"/>
      <c r="CQ510" s="90"/>
      <c r="CR510" s="90"/>
      <c r="CS510" s="90"/>
      <c r="CT510" s="85"/>
      <c r="CU510" s="85"/>
      <c r="CV510" s="85"/>
      <c r="CW510" s="85"/>
      <c r="CX510" s="85"/>
      <c r="CY510" s="85"/>
      <c r="CZ510" s="85"/>
      <c r="DA510" s="33">
        <f t="shared" si="7"/>
        <v>0</v>
      </c>
    </row>
    <row r="511" spans="36:105" ht="19" x14ac:dyDescent="0.25">
      <c r="AJ511" s="63"/>
      <c r="AK511" s="20"/>
      <c r="AL511" s="21"/>
      <c r="AM511" s="22"/>
      <c r="AN511" s="23"/>
      <c r="AO511" s="24"/>
      <c r="AP511" s="25"/>
      <c r="AQ511" s="26"/>
      <c r="AR511" s="27"/>
      <c r="AS511" s="192"/>
      <c r="AT511" s="111"/>
      <c r="AU511" s="193"/>
      <c r="AV511" s="140"/>
      <c r="AW511" s="118"/>
      <c r="AX511" s="141"/>
      <c r="AY511" s="149"/>
      <c r="AZ511" s="121"/>
      <c r="BA511" s="150"/>
      <c r="BB511" s="158"/>
      <c r="BC511" s="124"/>
      <c r="BD511" s="159"/>
      <c r="BE511" s="167"/>
      <c r="BF511" s="85"/>
      <c r="BG511" s="168"/>
      <c r="BH511" s="175"/>
      <c r="BI511" s="127"/>
      <c r="BJ511" s="176"/>
      <c r="BK511" s="184"/>
      <c r="BL511" s="130"/>
      <c r="BM511" s="185"/>
      <c r="BN511" s="69"/>
      <c r="BO511" s="85"/>
      <c r="BP511" s="85"/>
      <c r="BQ511" s="85"/>
      <c r="BR511" s="85"/>
      <c r="BS511" s="85"/>
      <c r="BT511" s="85"/>
      <c r="BU511" s="87"/>
      <c r="BV511" s="87"/>
      <c r="BW511" s="87"/>
      <c r="BX511" s="87"/>
      <c r="BY511" s="87"/>
      <c r="BZ511" s="87"/>
      <c r="CA511" s="90"/>
      <c r="CB511" s="90"/>
      <c r="CC511" s="90"/>
      <c r="CD511" s="90"/>
      <c r="CE511" s="90"/>
      <c r="CF511" s="90"/>
      <c r="CG511" s="85"/>
      <c r="CH511" s="85"/>
      <c r="CI511" s="85"/>
      <c r="CJ511" s="85"/>
      <c r="CK511" s="85"/>
      <c r="CL511" s="87"/>
      <c r="CM511" s="87"/>
      <c r="CN511" s="87"/>
      <c r="CO511" s="87"/>
      <c r="CP511" s="90"/>
      <c r="CQ511" s="90"/>
      <c r="CR511" s="90"/>
      <c r="CS511" s="90"/>
      <c r="CT511" s="85"/>
      <c r="CU511" s="85"/>
      <c r="CV511" s="85"/>
      <c r="CW511" s="85"/>
      <c r="CX511" s="85"/>
      <c r="CY511" s="85"/>
      <c r="CZ511" s="85"/>
      <c r="DA511" s="33">
        <f t="shared" si="7"/>
        <v>0</v>
      </c>
    </row>
    <row r="512" spans="36:105" ht="19" x14ac:dyDescent="0.25">
      <c r="AJ512" s="63"/>
      <c r="AK512" s="20"/>
      <c r="AL512" s="21"/>
      <c r="AM512" s="22"/>
      <c r="AN512" s="23"/>
      <c r="AO512" s="24"/>
      <c r="AP512" s="25"/>
      <c r="AQ512" s="26"/>
      <c r="AR512" s="27"/>
      <c r="AS512" s="192"/>
      <c r="AT512" s="111"/>
      <c r="AU512" s="193"/>
      <c r="AV512" s="140"/>
      <c r="AW512" s="118"/>
      <c r="AX512" s="141"/>
      <c r="AY512" s="149"/>
      <c r="AZ512" s="121"/>
      <c r="BA512" s="150"/>
      <c r="BB512" s="158"/>
      <c r="BC512" s="124"/>
      <c r="BD512" s="159"/>
      <c r="BE512" s="167"/>
      <c r="BF512" s="85"/>
      <c r="BG512" s="168"/>
      <c r="BH512" s="175"/>
      <c r="BI512" s="127"/>
      <c r="BJ512" s="176"/>
      <c r="BK512" s="184"/>
      <c r="BL512" s="130"/>
      <c r="BM512" s="185"/>
      <c r="BN512" s="69"/>
      <c r="BO512" s="85"/>
      <c r="BP512" s="85"/>
      <c r="BQ512" s="85"/>
      <c r="BR512" s="85"/>
      <c r="BS512" s="85"/>
      <c r="BT512" s="85"/>
      <c r="BU512" s="87"/>
      <c r="BV512" s="87"/>
      <c r="BW512" s="87"/>
      <c r="BX512" s="87"/>
      <c r="BY512" s="87"/>
      <c r="BZ512" s="87"/>
      <c r="CA512" s="90"/>
      <c r="CB512" s="90"/>
      <c r="CC512" s="90"/>
      <c r="CD512" s="90"/>
      <c r="CE512" s="90"/>
      <c r="CF512" s="90"/>
      <c r="CG512" s="85"/>
      <c r="CH512" s="85"/>
      <c r="CI512" s="85"/>
      <c r="CJ512" s="85"/>
      <c r="CK512" s="85"/>
      <c r="CL512" s="87"/>
      <c r="CM512" s="87"/>
      <c r="CN512" s="87"/>
      <c r="CO512" s="87"/>
      <c r="CP512" s="90"/>
      <c r="CQ512" s="90"/>
      <c r="CR512" s="90"/>
      <c r="CS512" s="90"/>
      <c r="CT512" s="85"/>
      <c r="CU512" s="85"/>
      <c r="CV512" s="85"/>
      <c r="CW512" s="85"/>
      <c r="CX512" s="85"/>
      <c r="CY512" s="85"/>
      <c r="CZ512" s="85"/>
      <c r="DA512" s="33">
        <f t="shared" si="7"/>
        <v>0</v>
      </c>
    </row>
    <row r="513" spans="36:105" ht="19" x14ac:dyDescent="0.25">
      <c r="AJ513" s="63"/>
      <c r="AK513" s="20"/>
      <c r="AL513" s="21"/>
      <c r="AM513" s="22"/>
      <c r="AN513" s="23"/>
      <c r="AO513" s="24"/>
      <c r="AP513" s="25"/>
      <c r="AQ513" s="26"/>
      <c r="AR513" s="27"/>
      <c r="AS513" s="192"/>
      <c r="AT513" s="111"/>
      <c r="AU513" s="193"/>
      <c r="AV513" s="140"/>
      <c r="AW513" s="118"/>
      <c r="AX513" s="141"/>
      <c r="AY513" s="149"/>
      <c r="AZ513" s="121"/>
      <c r="BA513" s="150"/>
      <c r="BB513" s="158"/>
      <c r="BC513" s="124"/>
      <c r="BD513" s="159"/>
      <c r="BE513" s="167"/>
      <c r="BF513" s="85"/>
      <c r="BG513" s="168"/>
      <c r="BH513" s="175"/>
      <c r="BI513" s="127"/>
      <c r="BJ513" s="176"/>
      <c r="BK513" s="184"/>
      <c r="BL513" s="130"/>
      <c r="BM513" s="185"/>
      <c r="BN513" s="69"/>
      <c r="BO513" s="85"/>
      <c r="BP513" s="85"/>
      <c r="BQ513" s="85"/>
      <c r="BR513" s="85"/>
      <c r="BS513" s="85"/>
      <c r="BT513" s="85"/>
      <c r="BU513" s="87"/>
      <c r="BV513" s="87"/>
      <c r="BW513" s="87"/>
      <c r="BX513" s="87"/>
      <c r="BY513" s="87"/>
      <c r="BZ513" s="87"/>
      <c r="CA513" s="90"/>
      <c r="CB513" s="90"/>
      <c r="CC513" s="90"/>
      <c r="CD513" s="90"/>
      <c r="CE513" s="90"/>
      <c r="CF513" s="90"/>
      <c r="CG513" s="85"/>
      <c r="CH513" s="85"/>
      <c r="CI513" s="85"/>
      <c r="CJ513" s="85"/>
      <c r="CK513" s="85"/>
      <c r="CL513" s="87"/>
      <c r="CM513" s="87"/>
      <c r="CN513" s="87"/>
      <c r="CO513" s="87"/>
      <c r="CP513" s="90"/>
      <c r="CQ513" s="90"/>
      <c r="CR513" s="90"/>
      <c r="CS513" s="90"/>
      <c r="CT513" s="85"/>
      <c r="CU513" s="85"/>
      <c r="CV513" s="85"/>
      <c r="CW513" s="85"/>
      <c r="CX513" s="85"/>
      <c r="CY513" s="85"/>
      <c r="CZ513" s="85"/>
      <c r="DA513" s="33">
        <f t="shared" si="7"/>
        <v>0</v>
      </c>
    </row>
    <row r="514" spans="36:105" ht="19" x14ac:dyDescent="0.25">
      <c r="AJ514" s="63"/>
      <c r="AK514" s="20"/>
      <c r="AL514" s="21"/>
      <c r="AM514" s="22"/>
      <c r="AN514" s="23"/>
      <c r="AO514" s="24"/>
      <c r="AP514" s="25"/>
      <c r="AQ514" s="26"/>
      <c r="AR514" s="27"/>
      <c r="AS514" s="192"/>
      <c r="AT514" s="111"/>
      <c r="AU514" s="193"/>
      <c r="AV514" s="140"/>
      <c r="AW514" s="118"/>
      <c r="AX514" s="141"/>
      <c r="AY514" s="149"/>
      <c r="AZ514" s="121"/>
      <c r="BA514" s="150"/>
      <c r="BB514" s="158"/>
      <c r="BC514" s="124"/>
      <c r="BD514" s="159"/>
      <c r="BE514" s="167"/>
      <c r="BF514" s="85"/>
      <c r="BG514" s="168"/>
      <c r="BH514" s="175"/>
      <c r="BI514" s="127"/>
      <c r="BJ514" s="176"/>
      <c r="BK514" s="184"/>
      <c r="BL514" s="130"/>
      <c r="BM514" s="185"/>
      <c r="BN514" s="69"/>
      <c r="BO514" s="85"/>
      <c r="BP514" s="85"/>
      <c r="BQ514" s="85"/>
      <c r="BR514" s="85"/>
      <c r="BS514" s="85"/>
      <c r="BT514" s="85"/>
      <c r="BU514" s="87"/>
      <c r="BV514" s="87"/>
      <c r="BW514" s="87"/>
      <c r="BX514" s="87"/>
      <c r="BY514" s="87"/>
      <c r="BZ514" s="87"/>
      <c r="CA514" s="90"/>
      <c r="CB514" s="90"/>
      <c r="CC514" s="90"/>
      <c r="CD514" s="90"/>
      <c r="CE514" s="90"/>
      <c r="CF514" s="90"/>
      <c r="CG514" s="85"/>
      <c r="CH514" s="85"/>
      <c r="CI514" s="85"/>
      <c r="CJ514" s="85"/>
      <c r="CK514" s="85"/>
      <c r="CL514" s="87"/>
      <c r="CM514" s="87"/>
      <c r="CN514" s="87"/>
      <c r="CO514" s="87"/>
      <c r="CP514" s="90"/>
      <c r="CQ514" s="90"/>
      <c r="CR514" s="90"/>
      <c r="CS514" s="90"/>
      <c r="CT514" s="85"/>
      <c r="CU514" s="85"/>
      <c r="CV514" s="85"/>
      <c r="CW514" s="85"/>
      <c r="CX514" s="85"/>
      <c r="CY514" s="85"/>
      <c r="CZ514" s="85"/>
      <c r="DA514" s="33">
        <f t="shared" si="7"/>
        <v>0</v>
      </c>
    </row>
    <row r="515" spans="36:105" ht="19" x14ac:dyDescent="0.25">
      <c r="AJ515" s="63"/>
      <c r="AK515" s="20"/>
      <c r="AL515" s="21"/>
      <c r="AM515" s="22"/>
      <c r="AN515" s="23"/>
      <c r="AO515" s="24"/>
      <c r="AP515" s="25"/>
      <c r="AQ515" s="26"/>
      <c r="AR515" s="27"/>
      <c r="AS515" s="192"/>
      <c r="AT515" s="111"/>
      <c r="AU515" s="193"/>
      <c r="AV515" s="140"/>
      <c r="AW515" s="118"/>
      <c r="AX515" s="141"/>
      <c r="AY515" s="149"/>
      <c r="AZ515" s="121"/>
      <c r="BA515" s="150"/>
      <c r="BB515" s="158"/>
      <c r="BC515" s="124"/>
      <c r="BD515" s="159"/>
      <c r="BE515" s="167"/>
      <c r="BF515" s="85"/>
      <c r="BG515" s="168"/>
      <c r="BH515" s="175"/>
      <c r="BI515" s="127"/>
      <c r="BJ515" s="176"/>
      <c r="BK515" s="184"/>
      <c r="BL515" s="130"/>
      <c r="BM515" s="185"/>
      <c r="BN515" s="69"/>
      <c r="BO515" s="85"/>
      <c r="BP515" s="85"/>
      <c r="BQ515" s="85"/>
      <c r="BR515" s="85"/>
      <c r="BS515" s="85"/>
      <c r="BT515" s="85"/>
      <c r="BU515" s="87"/>
      <c r="BV515" s="87"/>
      <c r="BW515" s="87"/>
      <c r="BX515" s="87"/>
      <c r="BY515" s="87"/>
      <c r="BZ515" s="87"/>
      <c r="CA515" s="90"/>
      <c r="CB515" s="90"/>
      <c r="CC515" s="90"/>
      <c r="CD515" s="90"/>
      <c r="CE515" s="90"/>
      <c r="CF515" s="90"/>
      <c r="CG515" s="85"/>
      <c r="CH515" s="85"/>
      <c r="CI515" s="85"/>
      <c r="CJ515" s="85"/>
      <c r="CK515" s="85"/>
      <c r="CL515" s="87"/>
      <c r="CM515" s="87"/>
      <c r="CN515" s="87"/>
      <c r="CO515" s="87"/>
      <c r="CP515" s="90"/>
      <c r="CQ515" s="90"/>
      <c r="CR515" s="90"/>
      <c r="CS515" s="90"/>
      <c r="CT515" s="85"/>
      <c r="CU515" s="85"/>
      <c r="CV515" s="85"/>
      <c r="CW515" s="85"/>
      <c r="CX515" s="85"/>
      <c r="CY515" s="85"/>
      <c r="CZ515" s="85"/>
      <c r="DA515" s="33">
        <f t="shared" si="7"/>
        <v>0</v>
      </c>
    </row>
    <row r="516" spans="36:105" ht="19" x14ac:dyDescent="0.25">
      <c r="AJ516" s="63"/>
      <c r="AK516" s="20"/>
      <c r="AL516" s="21"/>
      <c r="AM516" s="22"/>
      <c r="AN516" s="23"/>
      <c r="AO516" s="24"/>
      <c r="AP516" s="25"/>
      <c r="AQ516" s="26"/>
      <c r="AR516" s="27"/>
      <c r="AS516" s="192"/>
      <c r="AT516" s="111"/>
      <c r="AU516" s="193"/>
      <c r="AV516" s="140"/>
      <c r="AW516" s="118"/>
      <c r="AX516" s="141"/>
      <c r="AY516" s="149"/>
      <c r="AZ516" s="121"/>
      <c r="BA516" s="150"/>
      <c r="BB516" s="158"/>
      <c r="BC516" s="124"/>
      <c r="BD516" s="159"/>
      <c r="BE516" s="167"/>
      <c r="BF516" s="85"/>
      <c r="BG516" s="168"/>
      <c r="BH516" s="175"/>
      <c r="BI516" s="127"/>
      <c r="BJ516" s="176"/>
      <c r="BK516" s="184"/>
      <c r="BL516" s="130"/>
      <c r="BM516" s="185"/>
      <c r="BN516" s="69"/>
      <c r="BO516" s="85"/>
      <c r="BP516" s="85"/>
      <c r="BQ516" s="85"/>
      <c r="BR516" s="85"/>
      <c r="BS516" s="85"/>
      <c r="BT516" s="85"/>
      <c r="BU516" s="87"/>
      <c r="BV516" s="87"/>
      <c r="BW516" s="87"/>
      <c r="BX516" s="87"/>
      <c r="BY516" s="87"/>
      <c r="BZ516" s="87"/>
      <c r="CA516" s="90"/>
      <c r="CB516" s="90"/>
      <c r="CC516" s="90"/>
      <c r="CD516" s="90"/>
      <c r="CE516" s="90"/>
      <c r="CF516" s="90"/>
      <c r="CG516" s="85"/>
      <c r="CH516" s="85"/>
      <c r="CI516" s="85"/>
      <c r="CJ516" s="85"/>
      <c r="CK516" s="85"/>
      <c r="CL516" s="87"/>
      <c r="CM516" s="87"/>
      <c r="CN516" s="87"/>
      <c r="CO516" s="87"/>
      <c r="CP516" s="90"/>
      <c r="CQ516" s="90"/>
      <c r="CR516" s="90"/>
      <c r="CS516" s="90"/>
      <c r="CT516" s="85"/>
      <c r="CU516" s="85"/>
      <c r="CV516" s="85"/>
      <c r="CW516" s="85"/>
      <c r="CX516" s="85"/>
      <c r="CY516" s="85"/>
      <c r="CZ516" s="85"/>
      <c r="DA516" s="33">
        <f t="shared" si="7"/>
        <v>0</v>
      </c>
    </row>
    <row r="517" spans="36:105" ht="19" x14ac:dyDescent="0.25">
      <c r="AJ517" s="63"/>
      <c r="AK517" s="20"/>
      <c r="AL517" s="21"/>
      <c r="AM517" s="22"/>
      <c r="AN517" s="23"/>
      <c r="AO517" s="24"/>
      <c r="AP517" s="25"/>
      <c r="AQ517" s="26"/>
      <c r="AR517" s="27"/>
      <c r="AS517" s="192"/>
      <c r="AT517" s="111"/>
      <c r="AU517" s="193"/>
      <c r="AV517" s="140"/>
      <c r="AW517" s="118"/>
      <c r="AX517" s="141"/>
      <c r="AY517" s="149"/>
      <c r="AZ517" s="121"/>
      <c r="BA517" s="150"/>
      <c r="BB517" s="158"/>
      <c r="BC517" s="124"/>
      <c r="BD517" s="159"/>
      <c r="BE517" s="167"/>
      <c r="BF517" s="85"/>
      <c r="BG517" s="168"/>
      <c r="BH517" s="175"/>
      <c r="BI517" s="127"/>
      <c r="BJ517" s="176"/>
      <c r="BK517" s="184"/>
      <c r="BL517" s="130"/>
      <c r="BM517" s="185"/>
      <c r="BN517" s="69"/>
      <c r="BO517" s="85"/>
      <c r="BP517" s="85"/>
      <c r="BQ517" s="85"/>
      <c r="BR517" s="85"/>
      <c r="BS517" s="85"/>
      <c r="BT517" s="85"/>
      <c r="BU517" s="87"/>
      <c r="BV517" s="87"/>
      <c r="BW517" s="87"/>
      <c r="BX517" s="87"/>
      <c r="BY517" s="87"/>
      <c r="BZ517" s="87"/>
      <c r="CA517" s="90"/>
      <c r="CB517" s="90"/>
      <c r="CC517" s="90"/>
      <c r="CD517" s="90"/>
      <c r="CE517" s="90"/>
      <c r="CF517" s="90"/>
      <c r="CG517" s="85"/>
      <c r="CH517" s="85"/>
      <c r="CI517" s="85"/>
      <c r="CJ517" s="85"/>
      <c r="CK517" s="85"/>
      <c r="CL517" s="87"/>
      <c r="CM517" s="87"/>
      <c r="CN517" s="87"/>
      <c r="CO517" s="87"/>
      <c r="CP517" s="90"/>
      <c r="CQ517" s="90"/>
      <c r="CR517" s="90"/>
      <c r="CS517" s="90"/>
      <c r="CT517" s="85"/>
      <c r="CU517" s="85"/>
      <c r="CV517" s="85"/>
      <c r="CW517" s="85"/>
      <c r="CX517" s="85"/>
      <c r="CY517" s="85"/>
      <c r="CZ517" s="85"/>
      <c r="DA517" s="33">
        <f t="shared" si="7"/>
        <v>0</v>
      </c>
    </row>
    <row r="518" spans="36:105" ht="19" x14ac:dyDescent="0.25">
      <c r="AJ518" s="63"/>
      <c r="AK518" s="20"/>
      <c r="AL518" s="21"/>
      <c r="AM518" s="22"/>
      <c r="AN518" s="23"/>
      <c r="AO518" s="24"/>
      <c r="AP518" s="25"/>
      <c r="AQ518" s="26"/>
      <c r="AR518" s="27"/>
      <c r="AS518" s="192"/>
      <c r="AT518" s="111"/>
      <c r="AU518" s="193"/>
      <c r="AV518" s="140"/>
      <c r="AW518" s="118"/>
      <c r="AX518" s="141"/>
      <c r="AY518" s="149"/>
      <c r="AZ518" s="121"/>
      <c r="BA518" s="150"/>
      <c r="BB518" s="158"/>
      <c r="BC518" s="124"/>
      <c r="BD518" s="159"/>
      <c r="BE518" s="167"/>
      <c r="BF518" s="85"/>
      <c r="BG518" s="168"/>
      <c r="BH518" s="175"/>
      <c r="BI518" s="127"/>
      <c r="BJ518" s="176"/>
      <c r="BK518" s="184"/>
      <c r="BL518" s="130"/>
      <c r="BM518" s="185"/>
      <c r="BN518" s="69"/>
      <c r="BO518" s="85"/>
      <c r="BP518" s="85"/>
      <c r="BQ518" s="85"/>
      <c r="BR518" s="85"/>
      <c r="BS518" s="85"/>
      <c r="BT518" s="85"/>
      <c r="BU518" s="87"/>
      <c r="BV518" s="87"/>
      <c r="BW518" s="87"/>
      <c r="BX518" s="87"/>
      <c r="BY518" s="87"/>
      <c r="BZ518" s="87"/>
      <c r="CA518" s="90"/>
      <c r="CB518" s="90"/>
      <c r="CC518" s="90"/>
      <c r="CD518" s="90"/>
      <c r="CE518" s="90"/>
      <c r="CF518" s="90"/>
      <c r="CG518" s="85"/>
      <c r="CH518" s="85"/>
      <c r="CI518" s="85"/>
      <c r="CJ518" s="85"/>
      <c r="CK518" s="85"/>
      <c r="CL518" s="87"/>
      <c r="CM518" s="87"/>
      <c r="CN518" s="87"/>
      <c r="CO518" s="87"/>
      <c r="CP518" s="90"/>
      <c r="CQ518" s="90"/>
      <c r="CR518" s="90"/>
      <c r="CS518" s="90"/>
      <c r="CT518" s="85"/>
      <c r="CU518" s="85"/>
      <c r="CV518" s="85"/>
      <c r="CW518" s="85"/>
      <c r="CX518" s="85"/>
      <c r="CY518" s="85"/>
      <c r="CZ518" s="85"/>
      <c r="DA518" s="33">
        <f t="shared" si="7"/>
        <v>0</v>
      </c>
    </row>
    <row r="519" spans="36:105" ht="19" x14ac:dyDescent="0.25">
      <c r="AJ519" s="63"/>
      <c r="AK519" s="20"/>
      <c r="AL519" s="21"/>
      <c r="AM519" s="22"/>
      <c r="AN519" s="23"/>
      <c r="AO519" s="24"/>
      <c r="AP519" s="25"/>
      <c r="AQ519" s="26"/>
      <c r="AR519" s="27"/>
      <c r="AS519" s="192"/>
      <c r="AT519" s="111"/>
      <c r="AU519" s="193"/>
      <c r="AV519" s="140"/>
      <c r="AW519" s="118"/>
      <c r="AX519" s="141"/>
      <c r="AY519" s="149"/>
      <c r="AZ519" s="121"/>
      <c r="BA519" s="150"/>
      <c r="BB519" s="158"/>
      <c r="BC519" s="124"/>
      <c r="BD519" s="159"/>
      <c r="BE519" s="167"/>
      <c r="BF519" s="85"/>
      <c r="BG519" s="168"/>
      <c r="BH519" s="175"/>
      <c r="BI519" s="127"/>
      <c r="BJ519" s="176"/>
      <c r="BK519" s="184"/>
      <c r="BL519" s="130"/>
      <c r="BM519" s="185"/>
      <c r="BN519" s="69"/>
      <c r="BO519" s="85"/>
      <c r="BP519" s="85"/>
      <c r="BQ519" s="85"/>
      <c r="BR519" s="85"/>
      <c r="BS519" s="85"/>
      <c r="BT519" s="85"/>
      <c r="BU519" s="87"/>
      <c r="BV519" s="87"/>
      <c r="BW519" s="87"/>
      <c r="BX519" s="87"/>
      <c r="BY519" s="87"/>
      <c r="BZ519" s="87"/>
      <c r="CA519" s="90"/>
      <c r="CB519" s="90"/>
      <c r="CC519" s="90"/>
      <c r="CD519" s="90"/>
      <c r="CE519" s="90"/>
      <c r="CF519" s="90"/>
      <c r="CG519" s="85"/>
      <c r="CH519" s="85"/>
      <c r="CI519" s="85"/>
      <c r="CJ519" s="85"/>
      <c r="CK519" s="85"/>
      <c r="CL519" s="87"/>
      <c r="CM519" s="87"/>
      <c r="CN519" s="87"/>
      <c r="CO519" s="87"/>
      <c r="CP519" s="90"/>
      <c r="CQ519" s="90"/>
      <c r="CR519" s="90"/>
      <c r="CS519" s="90"/>
      <c r="CT519" s="85"/>
      <c r="CU519" s="85"/>
      <c r="CV519" s="85"/>
      <c r="CW519" s="85"/>
      <c r="CX519" s="85"/>
      <c r="CY519" s="85"/>
      <c r="CZ519" s="85"/>
      <c r="DA519" s="33">
        <f t="shared" si="7"/>
        <v>0</v>
      </c>
    </row>
    <row r="520" spans="36:105" ht="19" x14ac:dyDescent="0.25">
      <c r="AJ520" s="63"/>
      <c r="AK520" s="20"/>
      <c r="AL520" s="21"/>
      <c r="AM520" s="22"/>
      <c r="AN520" s="23"/>
      <c r="AO520" s="24"/>
      <c r="AP520" s="25"/>
      <c r="AQ520" s="26"/>
      <c r="AR520" s="27"/>
      <c r="AS520" s="192"/>
      <c r="AT520" s="111"/>
      <c r="AU520" s="193"/>
      <c r="AV520" s="140"/>
      <c r="AW520" s="118"/>
      <c r="AX520" s="141"/>
      <c r="AY520" s="149"/>
      <c r="AZ520" s="121"/>
      <c r="BA520" s="150"/>
      <c r="BB520" s="158"/>
      <c r="BC520" s="124"/>
      <c r="BD520" s="159"/>
      <c r="BE520" s="167"/>
      <c r="BF520" s="85"/>
      <c r="BG520" s="168"/>
      <c r="BH520" s="175"/>
      <c r="BI520" s="127"/>
      <c r="BJ520" s="176"/>
      <c r="BK520" s="184"/>
      <c r="BL520" s="130"/>
      <c r="BM520" s="185"/>
      <c r="BN520" s="69"/>
      <c r="BO520" s="85"/>
      <c r="BP520" s="85"/>
      <c r="BQ520" s="85"/>
      <c r="BR520" s="85"/>
      <c r="BS520" s="85"/>
      <c r="BT520" s="85"/>
      <c r="BU520" s="87"/>
      <c r="BV520" s="87"/>
      <c r="BW520" s="87"/>
      <c r="BX520" s="87"/>
      <c r="BY520" s="87"/>
      <c r="BZ520" s="87"/>
      <c r="CA520" s="90"/>
      <c r="CB520" s="90"/>
      <c r="CC520" s="90"/>
      <c r="CD520" s="90"/>
      <c r="CE520" s="90"/>
      <c r="CF520" s="90"/>
      <c r="CG520" s="85"/>
      <c r="CH520" s="85"/>
      <c r="CI520" s="85"/>
      <c r="CJ520" s="85"/>
      <c r="CK520" s="85"/>
      <c r="CL520" s="87"/>
      <c r="CM520" s="87"/>
      <c r="CN520" s="87"/>
      <c r="CO520" s="87"/>
      <c r="CP520" s="90"/>
      <c r="CQ520" s="90"/>
      <c r="CR520" s="90"/>
      <c r="CS520" s="90"/>
      <c r="CT520" s="85"/>
      <c r="CU520" s="85"/>
      <c r="CV520" s="85"/>
      <c r="CW520" s="85"/>
      <c r="CX520" s="85"/>
      <c r="CY520" s="85"/>
      <c r="CZ520" s="85"/>
      <c r="DA520" s="33">
        <f t="shared" si="7"/>
        <v>0</v>
      </c>
    </row>
    <row r="521" spans="36:105" ht="19" x14ac:dyDescent="0.25">
      <c r="AJ521" s="63"/>
      <c r="AK521" s="20"/>
      <c r="AL521" s="21"/>
      <c r="AM521" s="22"/>
      <c r="AN521" s="23"/>
      <c r="AO521" s="24"/>
      <c r="AP521" s="25"/>
      <c r="AQ521" s="26"/>
      <c r="AR521" s="27"/>
      <c r="AS521" s="192"/>
      <c r="AT521" s="111"/>
      <c r="AU521" s="193"/>
      <c r="AV521" s="140"/>
      <c r="AW521" s="118"/>
      <c r="AX521" s="141"/>
      <c r="AY521" s="149"/>
      <c r="AZ521" s="121"/>
      <c r="BA521" s="150"/>
      <c r="BB521" s="158"/>
      <c r="BC521" s="124"/>
      <c r="BD521" s="159"/>
      <c r="BE521" s="167"/>
      <c r="BF521" s="85"/>
      <c r="BG521" s="168"/>
      <c r="BH521" s="175"/>
      <c r="BI521" s="127"/>
      <c r="BJ521" s="176"/>
      <c r="BK521" s="184"/>
      <c r="BL521" s="130"/>
      <c r="BM521" s="185"/>
      <c r="BN521" s="69"/>
      <c r="BO521" s="85"/>
      <c r="BP521" s="85"/>
      <c r="BQ521" s="85"/>
      <c r="BR521" s="85"/>
      <c r="BS521" s="85"/>
      <c r="BT521" s="85"/>
      <c r="BU521" s="87"/>
      <c r="BV521" s="87"/>
      <c r="BW521" s="87"/>
      <c r="BX521" s="87"/>
      <c r="BY521" s="87"/>
      <c r="BZ521" s="87"/>
      <c r="CA521" s="90"/>
      <c r="CB521" s="90"/>
      <c r="CC521" s="90"/>
      <c r="CD521" s="90"/>
      <c r="CE521" s="90"/>
      <c r="CF521" s="90"/>
      <c r="CG521" s="85"/>
      <c r="CH521" s="85"/>
      <c r="CI521" s="85"/>
      <c r="CJ521" s="85"/>
      <c r="CK521" s="85"/>
      <c r="CL521" s="87"/>
      <c r="CM521" s="87"/>
      <c r="CN521" s="87"/>
      <c r="CO521" s="87"/>
      <c r="CP521" s="90"/>
      <c r="CQ521" s="90"/>
      <c r="CR521" s="90"/>
      <c r="CS521" s="90"/>
      <c r="CT521" s="85"/>
      <c r="CU521" s="85"/>
      <c r="CV521" s="85"/>
      <c r="CW521" s="85"/>
      <c r="CX521" s="85"/>
      <c r="CY521" s="85"/>
      <c r="CZ521" s="85"/>
      <c r="DA521" s="33">
        <f t="shared" si="7"/>
        <v>0</v>
      </c>
    </row>
    <row r="522" spans="36:105" ht="19" x14ac:dyDescent="0.25">
      <c r="AJ522" s="63"/>
      <c r="AK522" s="20"/>
      <c r="AL522" s="21"/>
      <c r="AM522" s="22"/>
      <c r="AN522" s="23"/>
      <c r="AO522" s="24"/>
      <c r="AP522" s="25"/>
      <c r="AQ522" s="26"/>
      <c r="AR522" s="27"/>
      <c r="AS522" s="192"/>
      <c r="AT522" s="111"/>
      <c r="AU522" s="193"/>
      <c r="AV522" s="140"/>
      <c r="AW522" s="118"/>
      <c r="AX522" s="141"/>
      <c r="AY522" s="149"/>
      <c r="AZ522" s="121"/>
      <c r="BA522" s="150"/>
      <c r="BB522" s="158"/>
      <c r="BC522" s="124"/>
      <c r="BD522" s="159"/>
      <c r="BE522" s="167"/>
      <c r="BF522" s="85"/>
      <c r="BG522" s="168"/>
      <c r="BH522" s="175"/>
      <c r="BI522" s="127"/>
      <c r="BJ522" s="176"/>
      <c r="BK522" s="184"/>
      <c r="BL522" s="130"/>
      <c r="BM522" s="185"/>
      <c r="BN522" s="69"/>
      <c r="BO522" s="85"/>
      <c r="BP522" s="85"/>
      <c r="BQ522" s="85"/>
      <c r="BR522" s="85"/>
      <c r="BS522" s="85"/>
      <c r="BT522" s="85"/>
      <c r="BU522" s="87"/>
      <c r="BV522" s="87"/>
      <c r="BW522" s="87"/>
      <c r="BX522" s="87"/>
      <c r="BY522" s="87"/>
      <c r="BZ522" s="87"/>
      <c r="CA522" s="90"/>
      <c r="CB522" s="90"/>
      <c r="CC522" s="90"/>
      <c r="CD522" s="90"/>
      <c r="CE522" s="90"/>
      <c r="CF522" s="90"/>
      <c r="CG522" s="85"/>
      <c r="CH522" s="85"/>
      <c r="CI522" s="85"/>
      <c r="CJ522" s="85"/>
      <c r="CK522" s="85"/>
      <c r="CL522" s="87"/>
      <c r="CM522" s="87"/>
      <c r="CN522" s="87"/>
      <c r="CO522" s="87"/>
      <c r="CP522" s="90"/>
      <c r="CQ522" s="90"/>
      <c r="CR522" s="90"/>
      <c r="CS522" s="90"/>
      <c r="CT522" s="85"/>
      <c r="CU522" s="85"/>
      <c r="CV522" s="85"/>
      <c r="CW522" s="85"/>
      <c r="CX522" s="85"/>
      <c r="CY522" s="85"/>
      <c r="CZ522" s="85"/>
      <c r="DA522" s="33">
        <f t="shared" si="7"/>
        <v>0</v>
      </c>
    </row>
    <row r="523" spans="36:105" ht="19" x14ac:dyDescent="0.25">
      <c r="AJ523" s="63"/>
      <c r="AK523" s="20"/>
      <c r="AL523" s="21"/>
      <c r="AM523" s="22"/>
      <c r="AN523" s="23"/>
      <c r="AO523" s="24"/>
      <c r="AP523" s="25"/>
      <c r="AQ523" s="26"/>
      <c r="AR523" s="27"/>
      <c r="AS523" s="192"/>
      <c r="AT523" s="111"/>
      <c r="AU523" s="193"/>
      <c r="AV523" s="140"/>
      <c r="AW523" s="118"/>
      <c r="AX523" s="141"/>
      <c r="AY523" s="149"/>
      <c r="AZ523" s="121"/>
      <c r="BA523" s="150"/>
      <c r="BB523" s="158"/>
      <c r="BC523" s="124"/>
      <c r="BD523" s="159"/>
      <c r="BE523" s="167"/>
      <c r="BF523" s="85"/>
      <c r="BG523" s="168"/>
      <c r="BH523" s="175"/>
      <c r="BI523" s="127"/>
      <c r="BJ523" s="176"/>
      <c r="BK523" s="184"/>
      <c r="BL523" s="130"/>
      <c r="BM523" s="185"/>
      <c r="BN523" s="69"/>
      <c r="BO523" s="85"/>
      <c r="BP523" s="85"/>
      <c r="BQ523" s="85"/>
      <c r="BR523" s="85"/>
      <c r="BS523" s="85"/>
      <c r="BT523" s="85"/>
      <c r="BU523" s="87"/>
      <c r="BV523" s="87"/>
      <c r="BW523" s="87"/>
      <c r="BX523" s="87"/>
      <c r="BY523" s="87"/>
      <c r="BZ523" s="87"/>
      <c r="CA523" s="90"/>
      <c r="CB523" s="90"/>
      <c r="CC523" s="90"/>
      <c r="CD523" s="90"/>
      <c r="CE523" s="90"/>
      <c r="CF523" s="90"/>
      <c r="CG523" s="85"/>
      <c r="CH523" s="85"/>
      <c r="CI523" s="85"/>
      <c r="CJ523" s="85"/>
      <c r="CK523" s="85"/>
      <c r="CL523" s="87"/>
      <c r="CM523" s="87"/>
      <c r="CN523" s="87"/>
      <c r="CO523" s="87"/>
      <c r="CP523" s="90"/>
      <c r="CQ523" s="90"/>
      <c r="CR523" s="90"/>
      <c r="CS523" s="90"/>
      <c r="CT523" s="85"/>
      <c r="CU523" s="85"/>
      <c r="CV523" s="85"/>
      <c r="CW523" s="85"/>
      <c r="CX523" s="85"/>
      <c r="CY523" s="85"/>
      <c r="CZ523" s="85"/>
      <c r="DA523" s="33">
        <f t="shared" si="7"/>
        <v>0</v>
      </c>
    </row>
    <row r="524" spans="36:105" ht="19" x14ac:dyDescent="0.25">
      <c r="AJ524" s="63"/>
      <c r="AK524" s="20"/>
      <c r="AL524" s="21"/>
      <c r="AM524" s="22"/>
      <c r="AN524" s="23"/>
      <c r="AO524" s="24"/>
      <c r="AP524" s="25"/>
      <c r="AQ524" s="26"/>
      <c r="AR524" s="27"/>
      <c r="AS524" s="192"/>
      <c r="AT524" s="111"/>
      <c r="AU524" s="193"/>
      <c r="AV524" s="140"/>
      <c r="AW524" s="118"/>
      <c r="AX524" s="141"/>
      <c r="AY524" s="149"/>
      <c r="AZ524" s="121"/>
      <c r="BA524" s="150"/>
      <c r="BB524" s="158"/>
      <c r="BC524" s="124"/>
      <c r="BD524" s="159"/>
      <c r="BE524" s="167"/>
      <c r="BF524" s="85"/>
      <c r="BG524" s="168"/>
      <c r="BH524" s="175"/>
      <c r="BI524" s="127"/>
      <c r="BJ524" s="176"/>
      <c r="BK524" s="184"/>
      <c r="BL524" s="130"/>
      <c r="BM524" s="185"/>
      <c r="BN524" s="69"/>
      <c r="BO524" s="85"/>
      <c r="BP524" s="85"/>
      <c r="BQ524" s="85"/>
      <c r="BR524" s="85"/>
      <c r="BS524" s="85"/>
      <c r="BT524" s="85"/>
      <c r="BU524" s="87"/>
      <c r="BV524" s="87"/>
      <c r="BW524" s="87"/>
      <c r="BX524" s="87"/>
      <c r="BY524" s="87"/>
      <c r="BZ524" s="87"/>
      <c r="CA524" s="90"/>
      <c r="CB524" s="90"/>
      <c r="CC524" s="90"/>
      <c r="CD524" s="90"/>
      <c r="CE524" s="90"/>
      <c r="CF524" s="90"/>
      <c r="CG524" s="85"/>
      <c r="CH524" s="85"/>
      <c r="CI524" s="85"/>
      <c r="CJ524" s="85"/>
      <c r="CK524" s="85"/>
      <c r="CL524" s="87"/>
      <c r="CM524" s="87"/>
      <c r="CN524" s="87"/>
      <c r="CO524" s="87"/>
      <c r="CP524" s="90"/>
      <c r="CQ524" s="90"/>
      <c r="CR524" s="90"/>
      <c r="CS524" s="90"/>
      <c r="CT524" s="85"/>
      <c r="CU524" s="85"/>
      <c r="CV524" s="85"/>
      <c r="CW524" s="85"/>
      <c r="CX524" s="85"/>
      <c r="CY524" s="85"/>
      <c r="CZ524" s="85"/>
      <c r="DA524" s="33">
        <f t="shared" si="7"/>
        <v>0</v>
      </c>
    </row>
    <row r="525" spans="36:105" ht="19" x14ac:dyDescent="0.25">
      <c r="AJ525" s="63"/>
      <c r="AK525" s="20"/>
      <c r="AL525" s="21"/>
      <c r="AM525" s="22"/>
      <c r="AN525" s="23"/>
      <c r="AO525" s="24"/>
      <c r="AP525" s="25"/>
      <c r="AQ525" s="26"/>
      <c r="AR525" s="27"/>
      <c r="AS525" s="192"/>
      <c r="AT525" s="111"/>
      <c r="AU525" s="193"/>
      <c r="AV525" s="140"/>
      <c r="AW525" s="118"/>
      <c r="AX525" s="141"/>
      <c r="AY525" s="149"/>
      <c r="AZ525" s="121"/>
      <c r="BA525" s="150"/>
      <c r="BB525" s="158"/>
      <c r="BC525" s="124"/>
      <c r="BD525" s="159"/>
      <c r="BE525" s="167"/>
      <c r="BF525" s="85"/>
      <c r="BG525" s="168"/>
      <c r="BH525" s="175"/>
      <c r="BI525" s="127"/>
      <c r="BJ525" s="176"/>
      <c r="BK525" s="184"/>
      <c r="BL525" s="130"/>
      <c r="BM525" s="185"/>
      <c r="BN525" s="69"/>
      <c r="BO525" s="85"/>
      <c r="BP525" s="85"/>
      <c r="BQ525" s="85"/>
      <c r="BR525" s="85"/>
      <c r="BS525" s="85"/>
      <c r="BT525" s="85"/>
      <c r="BU525" s="87"/>
      <c r="BV525" s="87"/>
      <c r="BW525" s="87"/>
      <c r="BX525" s="87"/>
      <c r="BY525" s="87"/>
      <c r="BZ525" s="87"/>
      <c r="CA525" s="90"/>
      <c r="CB525" s="90"/>
      <c r="CC525" s="90"/>
      <c r="CD525" s="90"/>
      <c r="CE525" s="90"/>
      <c r="CF525" s="90"/>
      <c r="CG525" s="85"/>
      <c r="CH525" s="85"/>
      <c r="CI525" s="85"/>
      <c r="CJ525" s="85"/>
      <c r="CK525" s="85"/>
      <c r="CL525" s="87"/>
      <c r="CM525" s="87"/>
      <c r="CN525" s="87"/>
      <c r="CO525" s="87"/>
      <c r="CP525" s="90"/>
      <c r="CQ525" s="90"/>
      <c r="CR525" s="90"/>
      <c r="CS525" s="90"/>
      <c r="CT525" s="85"/>
      <c r="CU525" s="85"/>
      <c r="CV525" s="85"/>
      <c r="CW525" s="85"/>
      <c r="CX525" s="85"/>
      <c r="CY525" s="85"/>
      <c r="CZ525" s="85"/>
      <c r="DA525" s="33">
        <f t="shared" si="7"/>
        <v>0</v>
      </c>
    </row>
    <row r="526" spans="36:105" ht="19" x14ac:dyDescent="0.25">
      <c r="AJ526" s="63"/>
      <c r="AK526" s="20"/>
      <c r="AL526" s="21"/>
      <c r="AM526" s="22"/>
      <c r="AN526" s="23"/>
      <c r="AO526" s="24"/>
      <c r="AP526" s="25"/>
      <c r="AQ526" s="26"/>
      <c r="AR526" s="27"/>
      <c r="AS526" s="192"/>
      <c r="AT526" s="111"/>
      <c r="AU526" s="193"/>
      <c r="AV526" s="140"/>
      <c r="AW526" s="118"/>
      <c r="AX526" s="141"/>
      <c r="AY526" s="149"/>
      <c r="AZ526" s="121"/>
      <c r="BA526" s="150"/>
      <c r="BB526" s="158"/>
      <c r="BC526" s="124"/>
      <c r="BD526" s="159"/>
      <c r="BE526" s="167"/>
      <c r="BF526" s="85"/>
      <c r="BG526" s="168"/>
      <c r="BH526" s="175"/>
      <c r="BI526" s="127"/>
      <c r="BJ526" s="176"/>
      <c r="BK526" s="184"/>
      <c r="BL526" s="130"/>
      <c r="BM526" s="185"/>
      <c r="BN526" s="69"/>
      <c r="BO526" s="85"/>
      <c r="BP526" s="85"/>
      <c r="BQ526" s="85"/>
      <c r="BR526" s="85"/>
      <c r="BS526" s="85"/>
      <c r="BT526" s="85"/>
      <c r="BU526" s="87"/>
      <c r="BV526" s="87"/>
      <c r="BW526" s="87"/>
      <c r="BX526" s="87"/>
      <c r="BY526" s="87"/>
      <c r="BZ526" s="87"/>
      <c r="CA526" s="90"/>
      <c r="CB526" s="90"/>
      <c r="CC526" s="90"/>
      <c r="CD526" s="90"/>
      <c r="CE526" s="90"/>
      <c r="CF526" s="90"/>
      <c r="CG526" s="85"/>
      <c r="CH526" s="85"/>
      <c r="CI526" s="85"/>
      <c r="CJ526" s="85"/>
      <c r="CK526" s="85"/>
      <c r="CL526" s="87"/>
      <c r="CM526" s="87"/>
      <c r="CN526" s="87"/>
      <c r="CO526" s="87"/>
      <c r="CP526" s="90"/>
      <c r="CQ526" s="90"/>
      <c r="CR526" s="90"/>
      <c r="CS526" s="90"/>
      <c r="CT526" s="85"/>
      <c r="CU526" s="85"/>
      <c r="CV526" s="85"/>
      <c r="CW526" s="85"/>
      <c r="CX526" s="85"/>
      <c r="CY526" s="85"/>
      <c r="CZ526" s="85"/>
      <c r="DA526" s="33">
        <f t="shared" si="7"/>
        <v>0</v>
      </c>
    </row>
    <row r="527" spans="36:105" ht="19" x14ac:dyDescent="0.25">
      <c r="AJ527" s="63"/>
      <c r="AK527" s="20"/>
      <c r="AL527" s="21"/>
      <c r="AM527" s="22"/>
      <c r="AN527" s="23"/>
      <c r="AO527" s="24"/>
      <c r="AP527" s="25"/>
      <c r="AQ527" s="26"/>
      <c r="AR527" s="27"/>
      <c r="AS527" s="192"/>
      <c r="AT527" s="111"/>
      <c r="AU527" s="193"/>
      <c r="AV527" s="140"/>
      <c r="AW527" s="118"/>
      <c r="AX527" s="141"/>
      <c r="AY527" s="149"/>
      <c r="AZ527" s="121"/>
      <c r="BA527" s="150"/>
      <c r="BB527" s="158"/>
      <c r="BC527" s="124"/>
      <c r="BD527" s="159"/>
      <c r="BE527" s="167"/>
      <c r="BF527" s="85"/>
      <c r="BG527" s="168"/>
      <c r="BH527" s="175"/>
      <c r="BI527" s="127"/>
      <c r="BJ527" s="176"/>
      <c r="BK527" s="184"/>
      <c r="BL527" s="130"/>
      <c r="BM527" s="185"/>
      <c r="BN527" s="69"/>
      <c r="BO527" s="85"/>
      <c r="BP527" s="85"/>
      <c r="BQ527" s="85"/>
      <c r="BR527" s="85"/>
      <c r="BS527" s="85"/>
      <c r="BT527" s="85"/>
      <c r="BU527" s="87"/>
      <c r="BV527" s="87"/>
      <c r="BW527" s="87"/>
      <c r="BX527" s="87"/>
      <c r="BY527" s="87"/>
      <c r="BZ527" s="87"/>
      <c r="CA527" s="90"/>
      <c r="CB527" s="90"/>
      <c r="CC527" s="90"/>
      <c r="CD527" s="90"/>
      <c r="CE527" s="90"/>
      <c r="CF527" s="90"/>
      <c r="CG527" s="85"/>
      <c r="CH527" s="85"/>
      <c r="CI527" s="85"/>
      <c r="CJ527" s="85"/>
      <c r="CK527" s="85"/>
      <c r="CL527" s="87"/>
      <c r="CM527" s="87"/>
      <c r="CN527" s="87"/>
      <c r="CO527" s="87"/>
      <c r="CP527" s="90"/>
      <c r="CQ527" s="90"/>
      <c r="CR527" s="90"/>
      <c r="CS527" s="90"/>
      <c r="CT527" s="85"/>
      <c r="CU527" s="85"/>
      <c r="CV527" s="85"/>
      <c r="CW527" s="85"/>
      <c r="CX527" s="85"/>
      <c r="CY527" s="85"/>
      <c r="CZ527" s="85"/>
      <c r="DA527" s="33">
        <f t="shared" si="7"/>
        <v>0</v>
      </c>
    </row>
    <row r="528" spans="36:105" ht="19" x14ac:dyDescent="0.25">
      <c r="AJ528" s="63"/>
      <c r="AK528" s="20"/>
      <c r="AL528" s="21"/>
      <c r="AM528" s="22"/>
      <c r="AN528" s="23"/>
      <c r="AO528" s="24"/>
      <c r="AP528" s="25"/>
      <c r="AQ528" s="26"/>
      <c r="AR528" s="27"/>
      <c r="AS528" s="192"/>
      <c r="AT528" s="111"/>
      <c r="AU528" s="193"/>
      <c r="AV528" s="140"/>
      <c r="AW528" s="118"/>
      <c r="AX528" s="141"/>
      <c r="AY528" s="149"/>
      <c r="AZ528" s="121"/>
      <c r="BA528" s="150"/>
      <c r="BB528" s="158"/>
      <c r="BC528" s="124"/>
      <c r="BD528" s="159"/>
      <c r="BE528" s="167"/>
      <c r="BF528" s="85"/>
      <c r="BG528" s="168"/>
      <c r="BH528" s="175"/>
      <c r="BI528" s="127"/>
      <c r="BJ528" s="176"/>
      <c r="BK528" s="184"/>
      <c r="BL528" s="130"/>
      <c r="BM528" s="185"/>
      <c r="BN528" s="69"/>
      <c r="BO528" s="85"/>
      <c r="BP528" s="85"/>
      <c r="BQ528" s="85"/>
      <c r="BR528" s="85"/>
      <c r="BS528" s="85"/>
      <c r="BT528" s="85"/>
      <c r="BU528" s="87"/>
      <c r="BV528" s="87"/>
      <c r="BW528" s="87"/>
      <c r="BX528" s="87"/>
      <c r="BY528" s="87"/>
      <c r="BZ528" s="87"/>
      <c r="CA528" s="90"/>
      <c r="CB528" s="90"/>
      <c r="CC528" s="90"/>
      <c r="CD528" s="90"/>
      <c r="CE528" s="90"/>
      <c r="CF528" s="90"/>
      <c r="CG528" s="85"/>
      <c r="CH528" s="85"/>
      <c r="CI528" s="85"/>
      <c r="CJ528" s="85"/>
      <c r="CK528" s="85"/>
      <c r="CL528" s="87"/>
      <c r="CM528" s="87"/>
      <c r="CN528" s="87"/>
      <c r="CO528" s="87"/>
      <c r="CP528" s="90"/>
      <c r="CQ528" s="90"/>
      <c r="CR528" s="90"/>
      <c r="CS528" s="90"/>
      <c r="CT528" s="85"/>
      <c r="CU528" s="85"/>
      <c r="CV528" s="85"/>
      <c r="CW528" s="85"/>
      <c r="CX528" s="85"/>
      <c r="CY528" s="85"/>
      <c r="CZ528" s="85"/>
      <c r="DA528" s="33">
        <f t="shared" si="7"/>
        <v>0</v>
      </c>
    </row>
    <row r="529" spans="36:105" ht="19" x14ac:dyDescent="0.25">
      <c r="AJ529" s="63"/>
      <c r="AK529" s="20"/>
      <c r="AL529" s="21"/>
      <c r="AM529" s="22"/>
      <c r="AN529" s="23"/>
      <c r="AO529" s="24"/>
      <c r="AP529" s="25"/>
      <c r="AQ529" s="26"/>
      <c r="AR529" s="27"/>
      <c r="AS529" s="192"/>
      <c r="AT529" s="111"/>
      <c r="AU529" s="193"/>
      <c r="AV529" s="140"/>
      <c r="AW529" s="118"/>
      <c r="AX529" s="141"/>
      <c r="AY529" s="149"/>
      <c r="AZ529" s="121"/>
      <c r="BA529" s="150"/>
      <c r="BB529" s="158"/>
      <c r="BC529" s="124"/>
      <c r="BD529" s="159"/>
      <c r="BE529" s="167"/>
      <c r="BF529" s="85"/>
      <c r="BG529" s="168"/>
      <c r="BH529" s="175"/>
      <c r="BI529" s="127"/>
      <c r="BJ529" s="176"/>
      <c r="BK529" s="184"/>
      <c r="BL529" s="130"/>
      <c r="BM529" s="185"/>
      <c r="BN529" s="69"/>
      <c r="BO529" s="85"/>
      <c r="BP529" s="85"/>
      <c r="BQ529" s="85"/>
      <c r="BR529" s="85"/>
      <c r="BS529" s="85"/>
      <c r="BT529" s="85"/>
      <c r="BU529" s="87"/>
      <c r="BV529" s="87"/>
      <c r="BW529" s="87"/>
      <c r="BX529" s="87"/>
      <c r="BY529" s="87"/>
      <c r="BZ529" s="87"/>
      <c r="CA529" s="90"/>
      <c r="CB529" s="90"/>
      <c r="CC529" s="90"/>
      <c r="CD529" s="90"/>
      <c r="CE529" s="90"/>
      <c r="CF529" s="90"/>
      <c r="CG529" s="85"/>
      <c r="CH529" s="85"/>
      <c r="CI529" s="85"/>
      <c r="CJ529" s="85"/>
      <c r="CK529" s="85"/>
      <c r="CL529" s="87"/>
      <c r="CM529" s="87"/>
      <c r="CN529" s="87"/>
      <c r="CO529" s="87"/>
      <c r="CP529" s="90"/>
      <c r="CQ529" s="90"/>
      <c r="CR529" s="90"/>
      <c r="CS529" s="90"/>
      <c r="CT529" s="85"/>
      <c r="CU529" s="85"/>
      <c r="CV529" s="85"/>
      <c r="CW529" s="85"/>
      <c r="CX529" s="85"/>
      <c r="CY529" s="85"/>
      <c r="CZ529" s="85"/>
      <c r="DA529" s="33">
        <f t="shared" si="7"/>
        <v>0</v>
      </c>
    </row>
    <row r="530" spans="36:105" ht="19" x14ac:dyDescent="0.25">
      <c r="AJ530" s="63"/>
      <c r="AK530" s="20"/>
      <c r="AL530" s="21"/>
      <c r="AM530" s="22"/>
      <c r="AN530" s="23"/>
      <c r="AO530" s="24"/>
      <c r="AP530" s="25"/>
      <c r="AQ530" s="26"/>
      <c r="AR530" s="27"/>
      <c r="AS530" s="192"/>
      <c r="AT530" s="111"/>
      <c r="AU530" s="193"/>
      <c r="AV530" s="140"/>
      <c r="AW530" s="118"/>
      <c r="AX530" s="141"/>
      <c r="AY530" s="149"/>
      <c r="AZ530" s="121"/>
      <c r="BA530" s="150"/>
      <c r="BB530" s="158"/>
      <c r="BC530" s="124"/>
      <c r="BD530" s="159"/>
      <c r="BE530" s="167"/>
      <c r="BF530" s="85"/>
      <c r="BG530" s="168"/>
      <c r="BH530" s="175"/>
      <c r="BI530" s="127"/>
      <c r="BJ530" s="176"/>
      <c r="BK530" s="184"/>
      <c r="BL530" s="130"/>
      <c r="BM530" s="185"/>
      <c r="BN530" s="69"/>
      <c r="BO530" s="85"/>
      <c r="BP530" s="85"/>
      <c r="BQ530" s="85"/>
      <c r="BR530" s="85"/>
      <c r="BS530" s="85"/>
      <c r="BT530" s="85"/>
      <c r="BU530" s="87"/>
      <c r="BV530" s="87"/>
      <c r="BW530" s="87"/>
      <c r="BX530" s="87"/>
      <c r="BY530" s="87"/>
      <c r="BZ530" s="87"/>
      <c r="CA530" s="90"/>
      <c r="CB530" s="90"/>
      <c r="CC530" s="90"/>
      <c r="CD530" s="90"/>
      <c r="CE530" s="90"/>
      <c r="CF530" s="90"/>
      <c r="CG530" s="85"/>
      <c r="CH530" s="85"/>
      <c r="CI530" s="85"/>
      <c r="CJ530" s="85"/>
      <c r="CK530" s="85"/>
      <c r="CL530" s="87"/>
      <c r="CM530" s="87"/>
      <c r="CN530" s="87"/>
      <c r="CO530" s="87"/>
      <c r="CP530" s="90"/>
      <c r="CQ530" s="90"/>
      <c r="CR530" s="90"/>
      <c r="CS530" s="90"/>
      <c r="CT530" s="85"/>
      <c r="CU530" s="85"/>
      <c r="CV530" s="85"/>
      <c r="CW530" s="85"/>
      <c r="CX530" s="85"/>
      <c r="CY530" s="85"/>
      <c r="CZ530" s="85"/>
      <c r="DA530" s="33">
        <f t="shared" si="7"/>
        <v>0</v>
      </c>
    </row>
    <row r="531" spans="36:105" ht="19" x14ac:dyDescent="0.25">
      <c r="AJ531" s="63"/>
      <c r="AK531" s="20"/>
      <c r="AL531" s="21"/>
      <c r="AM531" s="22"/>
      <c r="AN531" s="23"/>
      <c r="AO531" s="24"/>
      <c r="AP531" s="25"/>
      <c r="AQ531" s="26"/>
      <c r="AR531" s="27"/>
      <c r="AS531" s="192"/>
      <c r="AT531" s="111"/>
      <c r="AU531" s="193"/>
      <c r="AV531" s="140"/>
      <c r="AW531" s="118"/>
      <c r="AX531" s="141"/>
      <c r="AY531" s="149"/>
      <c r="AZ531" s="121"/>
      <c r="BA531" s="150"/>
      <c r="BB531" s="158"/>
      <c r="BC531" s="124"/>
      <c r="BD531" s="159"/>
      <c r="BE531" s="167"/>
      <c r="BF531" s="85"/>
      <c r="BG531" s="168"/>
      <c r="BH531" s="175"/>
      <c r="BI531" s="127"/>
      <c r="BJ531" s="176"/>
      <c r="BK531" s="184"/>
      <c r="BL531" s="130"/>
      <c r="BM531" s="185"/>
      <c r="BN531" s="69"/>
      <c r="BO531" s="85"/>
      <c r="BP531" s="85"/>
      <c r="BQ531" s="85"/>
      <c r="BR531" s="85"/>
      <c r="BS531" s="85"/>
      <c r="BT531" s="85"/>
      <c r="BU531" s="87"/>
      <c r="BV531" s="87"/>
      <c r="BW531" s="87"/>
      <c r="BX531" s="87"/>
      <c r="BY531" s="87"/>
      <c r="BZ531" s="87"/>
      <c r="CA531" s="90"/>
      <c r="CB531" s="90"/>
      <c r="CC531" s="90"/>
      <c r="CD531" s="90"/>
      <c r="CE531" s="90"/>
      <c r="CF531" s="90"/>
      <c r="CG531" s="85"/>
      <c r="CH531" s="85"/>
      <c r="CI531" s="85"/>
      <c r="CJ531" s="85"/>
      <c r="CK531" s="85"/>
      <c r="CL531" s="87"/>
      <c r="CM531" s="87"/>
      <c r="CN531" s="87"/>
      <c r="CO531" s="87"/>
      <c r="CP531" s="90"/>
      <c r="CQ531" s="90"/>
      <c r="CR531" s="90"/>
      <c r="CS531" s="90"/>
      <c r="CT531" s="85"/>
      <c r="CU531" s="85"/>
      <c r="CV531" s="85"/>
      <c r="CW531" s="85"/>
      <c r="CX531" s="85"/>
      <c r="CY531" s="85"/>
      <c r="CZ531" s="85"/>
      <c r="DA531" s="33">
        <f t="shared" si="7"/>
        <v>0</v>
      </c>
    </row>
    <row r="532" spans="36:105" ht="19" x14ac:dyDescent="0.25">
      <c r="AJ532" s="63"/>
      <c r="AK532" s="20"/>
      <c r="AL532" s="21"/>
      <c r="AM532" s="22"/>
      <c r="AN532" s="23"/>
      <c r="AO532" s="24"/>
      <c r="AP532" s="25"/>
      <c r="AQ532" s="26"/>
      <c r="AR532" s="27"/>
      <c r="AS532" s="192"/>
      <c r="AT532" s="111"/>
      <c r="AU532" s="193"/>
      <c r="AV532" s="140"/>
      <c r="AW532" s="118"/>
      <c r="AX532" s="141"/>
      <c r="AY532" s="149"/>
      <c r="AZ532" s="121"/>
      <c r="BA532" s="150"/>
      <c r="BB532" s="158"/>
      <c r="BC532" s="124"/>
      <c r="BD532" s="159"/>
      <c r="BE532" s="167"/>
      <c r="BF532" s="85"/>
      <c r="BG532" s="168"/>
      <c r="BH532" s="175"/>
      <c r="BI532" s="127"/>
      <c r="BJ532" s="176"/>
      <c r="BK532" s="184"/>
      <c r="BL532" s="130"/>
      <c r="BM532" s="185"/>
      <c r="BN532" s="69"/>
      <c r="BO532" s="85"/>
      <c r="BP532" s="85"/>
      <c r="BQ532" s="85"/>
      <c r="BR532" s="85"/>
      <c r="BS532" s="85"/>
      <c r="BT532" s="85"/>
      <c r="BU532" s="87"/>
      <c r="BV532" s="87"/>
      <c r="BW532" s="87"/>
      <c r="BX532" s="87"/>
      <c r="BY532" s="87"/>
      <c r="BZ532" s="87"/>
      <c r="CA532" s="90"/>
      <c r="CB532" s="90"/>
      <c r="CC532" s="90"/>
      <c r="CD532" s="90"/>
      <c r="CE532" s="90"/>
      <c r="CF532" s="90"/>
      <c r="CG532" s="85"/>
      <c r="CH532" s="85"/>
      <c r="CI532" s="85"/>
      <c r="CJ532" s="85"/>
      <c r="CK532" s="85"/>
      <c r="CL532" s="87"/>
      <c r="CM532" s="87"/>
      <c r="CN532" s="87"/>
      <c r="CO532" s="87"/>
      <c r="CP532" s="90"/>
      <c r="CQ532" s="90"/>
      <c r="CR532" s="90"/>
      <c r="CS532" s="90"/>
      <c r="CT532" s="85"/>
      <c r="CU532" s="85"/>
      <c r="CV532" s="85"/>
      <c r="CW532" s="85"/>
      <c r="CX532" s="85"/>
      <c r="CY532" s="85"/>
      <c r="CZ532" s="85"/>
      <c r="DA532" s="33">
        <f t="shared" si="7"/>
        <v>0</v>
      </c>
    </row>
    <row r="533" spans="36:105" ht="19" x14ac:dyDescent="0.25">
      <c r="AJ533" s="63"/>
      <c r="AK533" s="20"/>
      <c r="AL533" s="21"/>
      <c r="AM533" s="22"/>
      <c r="AN533" s="23"/>
      <c r="AO533" s="24"/>
      <c r="AP533" s="25"/>
      <c r="AQ533" s="26"/>
      <c r="AR533" s="27"/>
      <c r="AS533" s="192"/>
      <c r="AT533" s="111"/>
      <c r="AU533" s="193"/>
      <c r="AV533" s="140"/>
      <c r="AW533" s="118"/>
      <c r="AX533" s="141"/>
      <c r="AY533" s="149"/>
      <c r="AZ533" s="121"/>
      <c r="BA533" s="150"/>
      <c r="BB533" s="158"/>
      <c r="BC533" s="124"/>
      <c r="BD533" s="159"/>
      <c r="BE533" s="167"/>
      <c r="BF533" s="85"/>
      <c r="BG533" s="168"/>
      <c r="BH533" s="175"/>
      <c r="BI533" s="127"/>
      <c r="BJ533" s="176"/>
      <c r="BK533" s="184"/>
      <c r="BL533" s="130"/>
      <c r="BM533" s="185"/>
      <c r="BN533" s="69"/>
      <c r="BO533" s="85"/>
      <c r="BP533" s="85"/>
      <c r="BQ533" s="85"/>
      <c r="BR533" s="85"/>
      <c r="BS533" s="85"/>
      <c r="BT533" s="85"/>
      <c r="BU533" s="87"/>
      <c r="BV533" s="87"/>
      <c r="BW533" s="87"/>
      <c r="BX533" s="87"/>
      <c r="BY533" s="87"/>
      <c r="BZ533" s="87"/>
      <c r="CA533" s="90"/>
      <c r="CB533" s="90"/>
      <c r="CC533" s="90"/>
      <c r="CD533" s="90"/>
      <c r="CE533" s="90"/>
      <c r="CF533" s="90"/>
      <c r="CG533" s="85"/>
      <c r="CH533" s="85"/>
      <c r="CI533" s="85"/>
      <c r="CJ533" s="85"/>
      <c r="CK533" s="85"/>
      <c r="CL533" s="87"/>
      <c r="CM533" s="87"/>
      <c r="CN533" s="87"/>
      <c r="CO533" s="87"/>
      <c r="CP533" s="90"/>
      <c r="CQ533" s="90"/>
      <c r="CR533" s="90"/>
      <c r="CS533" s="90"/>
      <c r="CT533" s="85"/>
      <c r="CU533" s="85"/>
      <c r="CV533" s="85"/>
      <c r="CW533" s="85"/>
      <c r="CX533" s="85"/>
      <c r="CY533" s="85"/>
      <c r="CZ533" s="85"/>
      <c r="DA533" s="33">
        <f t="shared" si="7"/>
        <v>0</v>
      </c>
    </row>
    <row r="534" spans="36:105" ht="19" x14ac:dyDescent="0.25">
      <c r="AJ534" s="63"/>
      <c r="AK534" s="20"/>
      <c r="AL534" s="21"/>
      <c r="AM534" s="22"/>
      <c r="AN534" s="23"/>
      <c r="AO534" s="24"/>
      <c r="AP534" s="25"/>
      <c r="AQ534" s="26"/>
      <c r="AR534" s="27"/>
      <c r="AS534" s="192"/>
      <c r="AT534" s="111"/>
      <c r="AU534" s="193"/>
      <c r="AV534" s="140"/>
      <c r="AW534" s="118"/>
      <c r="AX534" s="141"/>
      <c r="AY534" s="149"/>
      <c r="AZ534" s="121"/>
      <c r="BA534" s="150"/>
      <c r="BB534" s="158"/>
      <c r="BC534" s="124"/>
      <c r="BD534" s="159"/>
      <c r="BE534" s="167"/>
      <c r="BF534" s="85"/>
      <c r="BG534" s="168"/>
      <c r="BH534" s="175"/>
      <c r="BI534" s="127"/>
      <c r="BJ534" s="176"/>
      <c r="BK534" s="184"/>
      <c r="BL534" s="130"/>
      <c r="BM534" s="185"/>
      <c r="BN534" s="69"/>
      <c r="BO534" s="85"/>
      <c r="BP534" s="85"/>
      <c r="BQ534" s="85"/>
      <c r="BR534" s="85"/>
      <c r="BS534" s="85"/>
      <c r="BT534" s="85"/>
      <c r="BU534" s="87"/>
      <c r="BV534" s="87"/>
      <c r="BW534" s="87"/>
      <c r="BX534" s="87"/>
      <c r="BY534" s="87"/>
      <c r="BZ534" s="87"/>
      <c r="CA534" s="90"/>
      <c r="CB534" s="90"/>
      <c r="CC534" s="90"/>
      <c r="CD534" s="90"/>
      <c r="CE534" s="90"/>
      <c r="CF534" s="90"/>
      <c r="CG534" s="85"/>
      <c r="CH534" s="85"/>
      <c r="CI534" s="85"/>
      <c r="CJ534" s="85"/>
      <c r="CK534" s="85"/>
      <c r="CL534" s="87"/>
      <c r="CM534" s="87"/>
      <c r="CN534" s="87"/>
      <c r="CO534" s="87"/>
      <c r="CP534" s="90"/>
      <c r="CQ534" s="90"/>
      <c r="CR534" s="90"/>
      <c r="CS534" s="90"/>
      <c r="CT534" s="85"/>
      <c r="CU534" s="85"/>
      <c r="CV534" s="85"/>
      <c r="CW534" s="85"/>
      <c r="CX534" s="85"/>
      <c r="CY534" s="85"/>
      <c r="CZ534" s="85"/>
      <c r="DA534" s="33">
        <f t="shared" si="7"/>
        <v>0</v>
      </c>
    </row>
    <row r="535" spans="36:105" ht="19" x14ac:dyDescent="0.25">
      <c r="AJ535" s="63"/>
      <c r="AK535" s="20"/>
      <c r="AL535" s="21"/>
      <c r="AM535" s="22"/>
      <c r="AN535" s="23"/>
      <c r="AO535" s="24"/>
      <c r="AP535" s="25"/>
      <c r="AQ535" s="26"/>
      <c r="AR535" s="27"/>
      <c r="AS535" s="192"/>
      <c r="AT535" s="111"/>
      <c r="AU535" s="193"/>
      <c r="AV535" s="140"/>
      <c r="AW535" s="118"/>
      <c r="AX535" s="141"/>
      <c r="AY535" s="149"/>
      <c r="AZ535" s="121"/>
      <c r="BA535" s="150"/>
      <c r="BB535" s="158"/>
      <c r="BC535" s="124"/>
      <c r="BD535" s="159"/>
      <c r="BE535" s="167"/>
      <c r="BF535" s="85"/>
      <c r="BG535" s="168"/>
      <c r="BH535" s="175"/>
      <c r="BI535" s="127"/>
      <c r="BJ535" s="176"/>
      <c r="BK535" s="184"/>
      <c r="BL535" s="130"/>
      <c r="BM535" s="185"/>
      <c r="BN535" s="69"/>
      <c r="BO535" s="85"/>
      <c r="BP535" s="85"/>
      <c r="BQ535" s="85"/>
      <c r="BR535" s="85"/>
      <c r="BS535" s="85"/>
      <c r="BT535" s="85"/>
      <c r="BU535" s="87"/>
      <c r="BV535" s="87"/>
      <c r="BW535" s="87"/>
      <c r="BX535" s="87"/>
      <c r="BY535" s="87"/>
      <c r="BZ535" s="87"/>
      <c r="CA535" s="90"/>
      <c r="CB535" s="90"/>
      <c r="CC535" s="90"/>
      <c r="CD535" s="90"/>
      <c r="CE535" s="90"/>
      <c r="CF535" s="90"/>
      <c r="CG535" s="85"/>
      <c r="CH535" s="85"/>
      <c r="CI535" s="85"/>
      <c r="CJ535" s="85"/>
      <c r="CK535" s="85"/>
      <c r="CL535" s="87"/>
      <c r="CM535" s="87"/>
      <c r="CN535" s="87"/>
      <c r="CO535" s="87"/>
      <c r="CP535" s="90"/>
      <c r="CQ535" s="90"/>
      <c r="CR535" s="90"/>
      <c r="CS535" s="90"/>
      <c r="CT535" s="85"/>
      <c r="CU535" s="85"/>
      <c r="CV535" s="85"/>
      <c r="CW535" s="85"/>
      <c r="CX535" s="85"/>
      <c r="CY535" s="85"/>
      <c r="CZ535" s="85"/>
      <c r="DA535" s="33">
        <f t="shared" si="7"/>
        <v>0</v>
      </c>
    </row>
    <row r="536" spans="36:105" ht="19" x14ac:dyDescent="0.25">
      <c r="AJ536" s="63"/>
      <c r="AK536" s="20"/>
      <c r="AL536" s="21"/>
      <c r="AM536" s="22"/>
      <c r="AN536" s="23"/>
      <c r="AO536" s="24"/>
      <c r="AP536" s="25"/>
      <c r="AQ536" s="26"/>
      <c r="AR536" s="27"/>
      <c r="AS536" s="192"/>
      <c r="AT536" s="111"/>
      <c r="AU536" s="193"/>
      <c r="AV536" s="140"/>
      <c r="AW536" s="118"/>
      <c r="AX536" s="141"/>
      <c r="AY536" s="149"/>
      <c r="AZ536" s="121"/>
      <c r="BA536" s="150"/>
      <c r="BB536" s="158"/>
      <c r="BC536" s="124"/>
      <c r="BD536" s="159"/>
      <c r="BE536" s="167"/>
      <c r="BF536" s="85"/>
      <c r="BG536" s="168"/>
      <c r="BH536" s="175"/>
      <c r="BI536" s="127"/>
      <c r="BJ536" s="176"/>
      <c r="BK536" s="184"/>
      <c r="BL536" s="130"/>
      <c r="BM536" s="185"/>
      <c r="BN536" s="69"/>
      <c r="BO536" s="85"/>
      <c r="BP536" s="85"/>
      <c r="BQ536" s="85"/>
      <c r="BR536" s="85"/>
      <c r="BS536" s="85"/>
      <c r="BT536" s="85"/>
      <c r="BU536" s="87"/>
      <c r="BV536" s="87"/>
      <c r="BW536" s="87"/>
      <c r="BX536" s="87"/>
      <c r="BY536" s="87"/>
      <c r="BZ536" s="87"/>
      <c r="CA536" s="90"/>
      <c r="CB536" s="90"/>
      <c r="CC536" s="90"/>
      <c r="CD536" s="90"/>
      <c r="CE536" s="90"/>
      <c r="CF536" s="90"/>
      <c r="CG536" s="85"/>
      <c r="CH536" s="85"/>
      <c r="CI536" s="85"/>
      <c r="CJ536" s="85"/>
      <c r="CK536" s="85"/>
      <c r="CL536" s="87"/>
      <c r="CM536" s="87"/>
      <c r="CN536" s="87"/>
      <c r="CO536" s="87"/>
      <c r="CP536" s="90"/>
      <c r="CQ536" s="90"/>
      <c r="CR536" s="90"/>
      <c r="CS536" s="90"/>
      <c r="CT536" s="85"/>
      <c r="CU536" s="85"/>
      <c r="CV536" s="85"/>
      <c r="CW536" s="85"/>
      <c r="CX536" s="85"/>
      <c r="CY536" s="85"/>
      <c r="CZ536" s="85"/>
      <c r="DA536" s="33">
        <f t="shared" si="7"/>
        <v>0</v>
      </c>
    </row>
    <row r="537" spans="36:105" ht="19" x14ac:dyDescent="0.25">
      <c r="AJ537" s="63"/>
      <c r="AK537" s="20"/>
      <c r="AL537" s="21"/>
      <c r="AM537" s="22"/>
      <c r="AN537" s="23"/>
      <c r="AO537" s="24"/>
      <c r="AP537" s="25"/>
      <c r="AQ537" s="26"/>
      <c r="AR537" s="27"/>
      <c r="AS537" s="192"/>
      <c r="AT537" s="111"/>
      <c r="AU537" s="193"/>
      <c r="AV537" s="140"/>
      <c r="AW537" s="118"/>
      <c r="AX537" s="141"/>
      <c r="AY537" s="149"/>
      <c r="AZ537" s="121"/>
      <c r="BA537" s="150"/>
      <c r="BB537" s="158"/>
      <c r="BC537" s="124"/>
      <c r="BD537" s="159"/>
      <c r="BE537" s="167"/>
      <c r="BF537" s="85"/>
      <c r="BG537" s="168"/>
      <c r="BH537" s="175"/>
      <c r="BI537" s="127"/>
      <c r="BJ537" s="176"/>
      <c r="BK537" s="184"/>
      <c r="BL537" s="130"/>
      <c r="BM537" s="185"/>
      <c r="BN537" s="69"/>
      <c r="BO537" s="85"/>
      <c r="BP537" s="85"/>
      <c r="BQ537" s="85"/>
      <c r="BR537" s="85"/>
      <c r="BS537" s="85"/>
      <c r="BT537" s="85"/>
      <c r="BU537" s="87"/>
      <c r="BV537" s="87"/>
      <c r="BW537" s="87"/>
      <c r="BX537" s="87"/>
      <c r="BY537" s="87"/>
      <c r="BZ537" s="87"/>
      <c r="CA537" s="90"/>
      <c r="CB537" s="90"/>
      <c r="CC537" s="90"/>
      <c r="CD537" s="90"/>
      <c r="CE537" s="90"/>
      <c r="CF537" s="90"/>
      <c r="CG537" s="85"/>
      <c r="CH537" s="85"/>
      <c r="CI537" s="85"/>
      <c r="CJ537" s="85"/>
      <c r="CK537" s="85"/>
      <c r="CL537" s="87"/>
      <c r="CM537" s="87"/>
      <c r="CN537" s="87"/>
      <c r="CO537" s="87"/>
      <c r="CP537" s="90"/>
      <c r="CQ537" s="90"/>
      <c r="CR537" s="90"/>
      <c r="CS537" s="90"/>
      <c r="CT537" s="85"/>
      <c r="CU537" s="85"/>
      <c r="CV537" s="85"/>
      <c r="CW537" s="85"/>
      <c r="CX537" s="85"/>
      <c r="CY537" s="85"/>
      <c r="CZ537" s="85"/>
      <c r="DA537" s="33">
        <f t="shared" si="7"/>
        <v>0</v>
      </c>
    </row>
    <row r="538" spans="36:105" ht="19" x14ac:dyDescent="0.25">
      <c r="AJ538" s="63"/>
      <c r="AK538" s="20"/>
      <c r="AL538" s="21"/>
      <c r="AM538" s="22"/>
      <c r="AN538" s="23"/>
      <c r="AO538" s="24"/>
      <c r="AP538" s="25"/>
      <c r="AQ538" s="26"/>
      <c r="AR538" s="27"/>
      <c r="AS538" s="192"/>
      <c r="AT538" s="111"/>
      <c r="AU538" s="193"/>
      <c r="AV538" s="140"/>
      <c r="AW538" s="118"/>
      <c r="AX538" s="141"/>
      <c r="AY538" s="149"/>
      <c r="AZ538" s="121"/>
      <c r="BA538" s="150"/>
      <c r="BB538" s="158"/>
      <c r="BC538" s="124"/>
      <c r="BD538" s="159"/>
      <c r="BE538" s="167"/>
      <c r="BF538" s="85"/>
      <c r="BG538" s="168"/>
      <c r="BH538" s="175"/>
      <c r="BI538" s="127"/>
      <c r="BJ538" s="176"/>
      <c r="BK538" s="184"/>
      <c r="BL538" s="130"/>
      <c r="BM538" s="185"/>
      <c r="BN538" s="69"/>
      <c r="BO538" s="85"/>
      <c r="BP538" s="85"/>
      <c r="BQ538" s="85"/>
      <c r="BR538" s="85"/>
      <c r="BS538" s="85"/>
      <c r="BT538" s="85"/>
      <c r="BU538" s="87"/>
      <c r="BV538" s="87"/>
      <c r="BW538" s="87"/>
      <c r="BX538" s="87"/>
      <c r="BY538" s="87"/>
      <c r="BZ538" s="87"/>
      <c r="CA538" s="90"/>
      <c r="CB538" s="90"/>
      <c r="CC538" s="90"/>
      <c r="CD538" s="90"/>
      <c r="CE538" s="90"/>
      <c r="CF538" s="90"/>
      <c r="CG538" s="85"/>
      <c r="CH538" s="85"/>
      <c r="CI538" s="85"/>
      <c r="CJ538" s="85"/>
      <c r="CK538" s="85"/>
      <c r="CL538" s="87"/>
      <c r="CM538" s="87"/>
      <c r="CN538" s="87"/>
      <c r="CO538" s="87"/>
      <c r="CP538" s="90"/>
      <c r="CQ538" s="90"/>
      <c r="CR538" s="90"/>
      <c r="CS538" s="90"/>
      <c r="CT538" s="85"/>
      <c r="CU538" s="85"/>
      <c r="CV538" s="85"/>
      <c r="CW538" s="85"/>
      <c r="CX538" s="85"/>
      <c r="CY538" s="85"/>
      <c r="CZ538" s="85"/>
      <c r="DA538" s="33">
        <f t="shared" si="7"/>
        <v>0</v>
      </c>
    </row>
    <row r="539" spans="36:105" ht="19" x14ac:dyDescent="0.25">
      <c r="AJ539" s="63"/>
      <c r="AK539" s="20"/>
      <c r="AL539" s="21"/>
      <c r="AM539" s="22"/>
      <c r="AN539" s="23"/>
      <c r="AO539" s="24"/>
      <c r="AP539" s="25"/>
      <c r="AQ539" s="26"/>
      <c r="AR539" s="27"/>
      <c r="AS539" s="192"/>
      <c r="AT539" s="111"/>
      <c r="AU539" s="193"/>
      <c r="AV539" s="140"/>
      <c r="AW539" s="118"/>
      <c r="AX539" s="141"/>
      <c r="AY539" s="149"/>
      <c r="AZ539" s="121"/>
      <c r="BA539" s="150"/>
      <c r="BB539" s="158"/>
      <c r="BC539" s="124"/>
      <c r="BD539" s="159"/>
      <c r="BE539" s="167"/>
      <c r="BF539" s="85"/>
      <c r="BG539" s="168"/>
      <c r="BH539" s="175"/>
      <c r="BI539" s="127"/>
      <c r="BJ539" s="176"/>
      <c r="BK539" s="184"/>
      <c r="BL539" s="130"/>
      <c r="BM539" s="185"/>
      <c r="BN539" s="69"/>
      <c r="BO539" s="85"/>
      <c r="BP539" s="85"/>
      <c r="BQ539" s="85"/>
      <c r="BR539" s="85"/>
      <c r="BS539" s="85"/>
      <c r="BT539" s="85"/>
      <c r="BU539" s="87"/>
      <c r="BV539" s="87"/>
      <c r="BW539" s="87"/>
      <c r="BX539" s="87"/>
      <c r="BY539" s="87"/>
      <c r="BZ539" s="87"/>
      <c r="CA539" s="90"/>
      <c r="CB539" s="90"/>
      <c r="CC539" s="90"/>
      <c r="CD539" s="90"/>
      <c r="CE539" s="90"/>
      <c r="CF539" s="90"/>
      <c r="CG539" s="85"/>
      <c r="CH539" s="85"/>
      <c r="CI539" s="85"/>
      <c r="CJ539" s="85"/>
      <c r="CK539" s="85"/>
      <c r="CL539" s="87"/>
      <c r="CM539" s="87"/>
      <c r="CN539" s="87"/>
      <c r="CO539" s="87"/>
      <c r="CP539" s="90"/>
      <c r="CQ539" s="90"/>
      <c r="CR539" s="90"/>
      <c r="CS539" s="90"/>
      <c r="CT539" s="85"/>
      <c r="CU539" s="85"/>
      <c r="CV539" s="85"/>
      <c r="CW539" s="85"/>
      <c r="CX539" s="85"/>
      <c r="CY539" s="85"/>
      <c r="CZ539" s="85"/>
      <c r="DA539" s="33">
        <f t="shared" si="7"/>
        <v>0</v>
      </c>
    </row>
    <row r="540" spans="36:105" ht="19" x14ac:dyDescent="0.25">
      <c r="AJ540" s="63"/>
      <c r="AK540" s="20"/>
      <c r="AL540" s="21"/>
      <c r="AM540" s="22"/>
      <c r="AN540" s="23"/>
      <c r="AO540" s="24"/>
      <c r="AP540" s="25"/>
      <c r="AQ540" s="26"/>
      <c r="AR540" s="27"/>
      <c r="AS540" s="192"/>
      <c r="AT540" s="111"/>
      <c r="AU540" s="193"/>
      <c r="AV540" s="140"/>
      <c r="AW540" s="118"/>
      <c r="AX540" s="141"/>
      <c r="AY540" s="149"/>
      <c r="AZ540" s="121"/>
      <c r="BA540" s="150"/>
      <c r="BB540" s="158"/>
      <c r="BC540" s="124"/>
      <c r="BD540" s="159"/>
      <c r="BE540" s="167"/>
      <c r="BF540" s="85"/>
      <c r="BG540" s="168"/>
      <c r="BH540" s="175"/>
      <c r="BI540" s="127"/>
      <c r="BJ540" s="176"/>
      <c r="BK540" s="184"/>
      <c r="BL540" s="130"/>
      <c r="BM540" s="185"/>
      <c r="BN540" s="69"/>
      <c r="BO540" s="85"/>
      <c r="BP540" s="85"/>
      <c r="BQ540" s="85"/>
      <c r="BR540" s="85"/>
      <c r="BS540" s="85"/>
      <c r="BT540" s="85"/>
      <c r="BU540" s="87"/>
      <c r="BV540" s="87"/>
      <c r="BW540" s="87"/>
      <c r="BX540" s="87"/>
      <c r="BY540" s="87"/>
      <c r="BZ540" s="87"/>
      <c r="CA540" s="90"/>
      <c r="CB540" s="90"/>
      <c r="CC540" s="90"/>
      <c r="CD540" s="90"/>
      <c r="CE540" s="90"/>
      <c r="CF540" s="90"/>
      <c r="CG540" s="85"/>
      <c r="CH540" s="85"/>
      <c r="CI540" s="85"/>
      <c r="CJ540" s="85"/>
      <c r="CK540" s="85"/>
      <c r="CL540" s="87"/>
      <c r="CM540" s="87"/>
      <c r="CN540" s="87"/>
      <c r="CO540" s="87"/>
      <c r="CP540" s="90"/>
      <c r="CQ540" s="90"/>
      <c r="CR540" s="90"/>
      <c r="CS540" s="90"/>
      <c r="CT540" s="85"/>
      <c r="CU540" s="85"/>
      <c r="CV540" s="85"/>
      <c r="CW540" s="85"/>
      <c r="CX540" s="85"/>
      <c r="CY540" s="85"/>
      <c r="CZ540" s="85"/>
      <c r="DA540" s="33">
        <f t="shared" si="7"/>
        <v>0</v>
      </c>
    </row>
    <row r="541" spans="36:105" ht="19" x14ac:dyDescent="0.25">
      <c r="AJ541" s="63"/>
      <c r="AK541" s="20"/>
      <c r="AL541" s="21"/>
      <c r="AM541" s="22"/>
      <c r="AN541" s="23"/>
      <c r="AO541" s="24"/>
      <c r="AP541" s="25"/>
      <c r="AQ541" s="26"/>
      <c r="AR541" s="27"/>
      <c r="AS541" s="192"/>
      <c r="AT541" s="111"/>
      <c r="AU541" s="193"/>
      <c r="AV541" s="140"/>
      <c r="AW541" s="118"/>
      <c r="AX541" s="141"/>
      <c r="AY541" s="149"/>
      <c r="AZ541" s="121"/>
      <c r="BA541" s="150"/>
      <c r="BB541" s="158"/>
      <c r="BC541" s="124"/>
      <c r="BD541" s="159"/>
      <c r="BE541" s="167"/>
      <c r="BF541" s="85"/>
      <c r="BG541" s="168"/>
      <c r="BH541" s="175"/>
      <c r="BI541" s="127"/>
      <c r="BJ541" s="176"/>
      <c r="BK541" s="184"/>
      <c r="BL541" s="130"/>
      <c r="BM541" s="185"/>
      <c r="BN541" s="69"/>
      <c r="BO541" s="85"/>
      <c r="BP541" s="85"/>
      <c r="BQ541" s="85"/>
      <c r="BR541" s="85"/>
      <c r="BS541" s="85"/>
      <c r="BT541" s="85"/>
      <c r="BU541" s="87"/>
      <c r="BV541" s="87"/>
      <c r="BW541" s="87"/>
      <c r="BX541" s="87"/>
      <c r="BY541" s="87"/>
      <c r="BZ541" s="87"/>
      <c r="CA541" s="90"/>
      <c r="CB541" s="90"/>
      <c r="CC541" s="90"/>
      <c r="CD541" s="90"/>
      <c r="CE541" s="90"/>
      <c r="CF541" s="90"/>
      <c r="CG541" s="85"/>
      <c r="CH541" s="85"/>
      <c r="CI541" s="85"/>
      <c r="CJ541" s="85"/>
      <c r="CK541" s="85"/>
      <c r="CL541" s="87"/>
      <c r="CM541" s="87"/>
      <c r="CN541" s="87"/>
      <c r="CO541" s="87"/>
      <c r="CP541" s="90"/>
      <c r="CQ541" s="90"/>
      <c r="CR541" s="90"/>
      <c r="CS541" s="90"/>
      <c r="CT541" s="85"/>
      <c r="CU541" s="85"/>
      <c r="CV541" s="85"/>
      <c r="CW541" s="85"/>
      <c r="CX541" s="85"/>
      <c r="CY541" s="85"/>
      <c r="CZ541" s="85"/>
      <c r="DA541" s="33">
        <f t="shared" si="7"/>
        <v>0</v>
      </c>
    </row>
    <row r="542" spans="36:105" ht="19" x14ac:dyDescent="0.25">
      <c r="AJ542" s="63"/>
      <c r="AK542" s="20"/>
      <c r="AL542" s="21"/>
      <c r="AM542" s="22"/>
      <c r="AN542" s="23"/>
      <c r="AO542" s="24"/>
      <c r="AP542" s="25"/>
      <c r="AQ542" s="26"/>
      <c r="AR542" s="27"/>
      <c r="AS542" s="192"/>
      <c r="AT542" s="111"/>
      <c r="AU542" s="193"/>
      <c r="AV542" s="140"/>
      <c r="AW542" s="118"/>
      <c r="AX542" s="141"/>
      <c r="AY542" s="149"/>
      <c r="AZ542" s="121"/>
      <c r="BA542" s="150"/>
      <c r="BB542" s="158"/>
      <c r="BC542" s="124"/>
      <c r="BD542" s="159"/>
      <c r="BE542" s="167"/>
      <c r="BF542" s="85"/>
      <c r="BG542" s="168"/>
      <c r="BH542" s="175"/>
      <c r="BI542" s="127"/>
      <c r="BJ542" s="176"/>
      <c r="BK542" s="184"/>
      <c r="BL542" s="130"/>
      <c r="BM542" s="185"/>
      <c r="BN542" s="69"/>
      <c r="BO542" s="85"/>
      <c r="BP542" s="85"/>
      <c r="BQ542" s="85"/>
      <c r="BR542" s="85"/>
      <c r="BS542" s="85"/>
      <c r="BT542" s="85"/>
      <c r="BU542" s="87"/>
      <c r="BV542" s="87"/>
      <c r="BW542" s="87"/>
      <c r="BX542" s="87"/>
      <c r="BY542" s="87"/>
      <c r="BZ542" s="87"/>
      <c r="CA542" s="90"/>
      <c r="CB542" s="90"/>
      <c r="CC542" s="90"/>
      <c r="CD542" s="90"/>
      <c r="CE542" s="90"/>
      <c r="CF542" s="90"/>
      <c r="CG542" s="85"/>
      <c r="CH542" s="85"/>
      <c r="CI542" s="85"/>
      <c r="CJ542" s="85"/>
      <c r="CK542" s="85"/>
      <c r="CL542" s="87"/>
      <c r="CM542" s="87"/>
      <c r="CN542" s="87"/>
      <c r="CO542" s="87"/>
      <c r="CP542" s="90"/>
      <c r="CQ542" s="90"/>
      <c r="CR542" s="90"/>
      <c r="CS542" s="90"/>
      <c r="CT542" s="85"/>
      <c r="CU542" s="85"/>
      <c r="CV542" s="85"/>
      <c r="CW542" s="85"/>
      <c r="CX542" s="85"/>
      <c r="CY542" s="85"/>
      <c r="CZ542" s="85"/>
      <c r="DA542" s="33">
        <f t="shared" si="7"/>
        <v>0</v>
      </c>
    </row>
    <row r="543" spans="36:105" ht="19" x14ac:dyDescent="0.25">
      <c r="AJ543" s="63"/>
      <c r="AK543" s="20"/>
      <c r="AL543" s="21"/>
      <c r="AM543" s="22"/>
      <c r="AN543" s="23"/>
      <c r="AO543" s="24"/>
      <c r="AP543" s="25"/>
      <c r="AQ543" s="26"/>
      <c r="AR543" s="27"/>
      <c r="AS543" s="192"/>
      <c r="AT543" s="111"/>
      <c r="AU543" s="193"/>
      <c r="AV543" s="140"/>
      <c r="AW543" s="118"/>
      <c r="AX543" s="141"/>
      <c r="AY543" s="149"/>
      <c r="AZ543" s="121"/>
      <c r="BA543" s="150"/>
      <c r="BB543" s="158"/>
      <c r="BC543" s="124"/>
      <c r="BD543" s="159"/>
      <c r="BE543" s="167"/>
      <c r="BF543" s="85"/>
      <c r="BG543" s="168"/>
      <c r="BH543" s="175"/>
      <c r="BI543" s="127"/>
      <c r="BJ543" s="176"/>
      <c r="BK543" s="184"/>
      <c r="BL543" s="130"/>
      <c r="BM543" s="185"/>
      <c r="BN543" s="69"/>
      <c r="BO543" s="85"/>
      <c r="BP543" s="85"/>
      <c r="BQ543" s="85"/>
      <c r="BR543" s="85"/>
      <c r="BS543" s="85"/>
      <c r="BT543" s="85"/>
      <c r="BU543" s="87"/>
      <c r="BV543" s="87"/>
      <c r="BW543" s="87"/>
      <c r="BX543" s="87"/>
      <c r="BY543" s="87"/>
      <c r="BZ543" s="87"/>
      <c r="CA543" s="90"/>
      <c r="CB543" s="90"/>
      <c r="CC543" s="90"/>
      <c r="CD543" s="90"/>
      <c r="CE543" s="90"/>
      <c r="CF543" s="90"/>
      <c r="CG543" s="85"/>
      <c r="CH543" s="85"/>
      <c r="CI543" s="85"/>
      <c r="CJ543" s="85"/>
      <c r="CK543" s="85"/>
      <c r="CL543" s="87"/>
      <c r="CM543" s="87"/>
      <c r="CN543" s="87"/>
      <c r="CO543" s="87"/>
      <c r="CP543" s="90"/>
      <c r="CQ543" s="90"/>
      <c r="CR543" s="90"/>
      <c r="CS543" s="90"/>
      <c r="CT543" s="85"/>
      <c r="CU543" s="85"/>
      <c r="CV543" s="85"/>
      <c r="CW543" s="85"/>
      <c r="CX543" s="85"/>
      <c r="CY543" s="85"/>
      <c r="CZ543" s="85"/>
      <c r="DA543" s="33">
        <f t="shared" si="7"/>
        <v>0</v>
      </c>
    </row>
    <row r="544" spans="36:105" ht="19" x14ac:dyDescent="0.25">
      <c r="AJ544" s="63"/>
      <c r="AK544" s="20"/>
      <c r="AL544" s="21"/>
      <c r="AM544" s="22"/>
      <c r="AN544" s="23"/>
      <c r="AO544" s="24"/>
      <c r="AP544" s="25"/>
      <c r="AQ544" s="26"/>
      <c r="AR544" s="27"/>
      <c r="AS544" s="192"/>
      <c r="AT544" s="111"/>
      <c r="AU544" s="193"/>
      <c r="AV544" s="140"/>
      <c r="AW544" s="118"/>
      <c r="AX544" s="141"/>
      <c r="AY544" s="149"/>
      <c r="AZ544" s="121"/>
      <c r="BA544" s="150"/>
      <c r="BB544" s="158"/>
      <c r="BC544" s="124"/>
      <c r="BD544" s="159"/>
      <c r="BE544" s="167"/>
      <c r="BF544" s="85"/>
      <c r="BG544" s="168"/>
      <c r="BH544" s="175"/>
      <c r="BI544" s="127"/>
      <c r="BJ544" s="176"/>
      <c r="BK544" s="184"/>
      <c r="BL544" s="130"/>
      <c r="BM544" s="185"/>
      <c r="BN544" s="69"/>
      <c r="BO544" s="85"/>
      <c r="BP544" s="85"/>
      <c r="BQ544" s="85"/>
      <c r="BR544" s="85"/>
      <c r="BS544" s="85"/>
      <c r="BT544" s="85"/>
      <c r="BU544" s="87"/>
      <c r="BV544" s="87"/>
      <c r="BW544" s="87"/>
      <c r="BX544" s="87"/>
      <c r="BY544" s="87"/>
      <c r="BZ544" s="87"/>
      <c r="CA544" s="90"/>
      <c r="CB544" s="90"/>
      <c r="CC544" s="90"/>
      <c r="CD544" s="90"/>
      <c r="CE544" s="90"/>
      <c r="CF544" s="90"/>
      <c r="CG544" s="85"/>
      <c r="CH544" s="85"/>
      <c r="CI544" s="85"/>
      <c r="CJ544" s="85"/>
      <c r="CK544" s="85"/>
      <c r="CL544" s="87"/>
      <c r="CM544" s="87"/>
      <c r="CN544" s="87"/>
      <c r="CO544" s="87"/>
      <c r="CP544" s="90"/>
      <c r="CQ544" s="90"/>
      <c r="CR544" s="90"/>
      <c r="CS544" s="90"/>
      <c r="CT544" s="85"/>
      <c r="CU544" s="85"/>
      <c r="CV544" s="85"/>
      <c r="CW544" s="85"/>
      <c r="CX544" s="85"/>
      <c r="CY544" s="85"/>
      <c r="CZ544" s="85"/>
      <c r="DA544" s="33">
        <f t="shared" si="7"/>
        <v>0</v>
      </c>
    </row>
    <row r="545" spans="36:105" ht="19" x14ac:dyDescent="0.25">
      <c r="AJ545" s="63"/>
      <c r="AK545" s="20"/>
      <c r="AL545" s="21"/>
      <c r="AM545" s="22"/>
      <c r="AN545" s="23"/>
      <c r="AO545" s="24"/>
      <c r="AP545" s="25"/>
      <c r="AQ545" s="26"/>
      <c r="AR545" s="27"/>
      <c r="AS545" s="192"/>
      <c r="AT545" s="111"/>
      <c r="AU545" s="193"/>
      <c r="AV545" s="140"/>
      <c r="AW545" s="118"/>
      <c r="AX545" s="141"/>
      <c r="AY545" s="149"/>
      <c r="AZ545" s="121"/>
      <c r="BA545" s="150"/>
      <c r="BB545" s="158"/>
      <c r="BC545" s="124"/>
      <c r="BD545" s="159"/>
      <c r="BE545" s="167"/>
      <c r="BF545" s="85"/>
      <c r="BG545" s="168"/>
      <c r="BH545" s="175"/>
      <c r="BI545" s="127"/>
      <c r="BJ545" s="176"/>
      <c r="BK545" s="184"/>
      <c r="BL545" s="130"/>
      <c r="BM545" s="185"/>
      <c r="BN545" s="69"/>
      <c r="BO545" s="85"/>
      <c r="BP545" s="85"/>
      <c r="BQ545" s="85"/>
      <c r="BR545" s="85"/>
      <c r="BS545" s="85"/>
      <c r="BT545" s="85"/>
      <c r="BU545" s="87"/>
      <c r="BV545" s="87"/>
      <c r="BW545" s="87"/>
      <c r="BX545" s="87"/>
      <c r="BY545" s="87"/>
      <c r="BZ545" s="87"/>
      <c r="CA545" s="90"/>
      <c r="CB545" s="90"/>
      <c r="CC545" s="90"/>
      <c r="CD545" s="90"/>
      <c r="CE545" s="90"/>
      <c r="CF545" s="90"/>
      <c r="CG545" s="85"/>
      <c r="CH545" s="85"/>
      <c r="CI545" s="85"/>
      <c r="CJ545" s="85"/>
      <c r="CK545" s="85"/>
      <c r="CL545" s="87"/>
      <c r="CM545" s="87"/>
      <c r="CN545" s="87"/>
      <c r="CO545" s="87"/>
      <c r="CP545" s="90"/>
      <c r="CQ545" s="90"/>
      <c r="CR545" s="90"/>
      <c r="CS545" s="90"/>
      <c r="CT545" s="85"/>
      <c r="CU545" s="85"/>
      <c r="CV545" s="85"/>
      <c r="CW545" s="85"/>
      <c r="CX545" s="85"/>
      <c r="CY545" s="85"/>
      <c r="CZ545" s="85"/>
      <c r="DA545" s="33">
        <f t="shared" si="7"/>
        <v>0</v>
      </c>
    </row>
    <row r="546" spans="36:105" ht="19" x14ac:dyDescent="0.25">
      <c r="AJ546" s="63"/>
      <c r="AK546" s="20"/>
      <c r="AL546" s="21"/>
      <c r="AM546" s="22"/>
      <c r="AN546" s="23"/>
      <c r="AO546" s="24"/>
      <c r="AP546" s="25"/>
      <c r="AQ546" s="26"/>
      <c r="AR546" s="27"/>
      <c r="AS546" s="192"/>
      <c r="AT546" s="111"/>
      <c r="AU546" s="193"/>
      <c r="AV546" s="140"/>
      <c r="AW546" s="118"/>
      <c r="AX546" s="141"/>
      <c r="AY546" s="149"/>
      <c r="AZ546" s="121"/>
      <c r="BA546" s="150"/>
      <c r="BB546" s="158"/>
      <c r="BC546" s="124"/>
      <c r="BD546" s="159"/>
      <c r="BE546" s="167"/>
      <c r="BF546" s="85"/>
      <c r="BG546" s="168"/>
      <c r="BH546" s="175"/>
      <c r="BI546" s="127"/>
      <c r="BJ546" s="176"/>
      <c r="BK546" s="184"/>
      <c r="BL546" s="130"/>
      <c r="BM546" s="185"/>
      <c r="BN546" s="69"/>
      <c r="BO546" s="85"/>
      <c r="BP546" s="85"/>
      <c r="BQ546" s="85"/>
      <c r="BR546" s="85"/>
      <c r="BS546" s="85"/>
      <c r="BT546" s="85"/>
      <c r="BU546" s="87"/>
      <c r="BV546" s="87"/>
      <c r="BW546" s="87"/>
      <c r="BX546" s="87"/>
      <c r="BY546" s="87"/>
      <c r="BZ546" s="87"/>
      <c r="CA546" s="90"/>
      <c r="CB546" s="90"/>
      <c r="CC546" s="90"/>
      <c r="CD546" s="90"/>
      <c r="CE546" s="90"/>
      <c r="CF546" s="90"/>
      <c r="CG546" s="85"/>
      <c r="CH546" s="85"/>
      <c r="CI546" s="85"/>
      <c r="CJ546" s="85"/>
      <c r="CK546" s="85"/>
      <c r="CL546" s="87"/>
      <c r="CM546" s="87"/>
      <c r="CN546" s="87"/>
      <c r="CO546" s="87"/>
      <c r="CP546" s="90"/>
      <c r="CQ546" s="90"/>
      <c r="CR546" s="90"/>
      <c r="CS546" s="90"/>
      <c r="CT546" s="85"/>
      <c r="CU546" s="85"/>
      <c r="CV546" s="85"/>
      <c r="CW546" s="85"/>
      <c r="CX546" s="85"/>
      <c r="CY546" s="85"/>
      <c r="CZ546" s="85"/>
      <c r="DA546" s="33">
        <f t="shared" si="7"/>
        <v>0</v>
      </c>
    </row>
    <row r="547" spans="36:105" ht="19" x14ac:dyDescent="0.25">
      <c r="AJ547" s="63"/>
      <c r="AK547" s="20"/>
      <c r="AL547" s="21"/>
      <c r="AM547" s="22"/>
      <c r="AN547" s="23"/>
      <c r="AO547" s="24"/>
      <c r="AP547" s="25"/>
      <c r="AQ547" s="26"/>
      <c r="AR547" s="27"/>
      <c r="AS547" s="192"/>
      <c r="AT547" s="111"/>
      <c r="AU547" s="193"/>
      <c r="AV547" s="140"/>
      <c r="AW547" s="118"/>
      <c r="AX547" s="141"/>
      <c r="AY547" s="149"/>
      <c r="AZ547" s="121"/>
      <c r="BA547" s="150"/>
      <c r="BB547" s="158"/>
      <c r="BC547" s="124"/>
      <c r="BD547" s="159"/>
      <c r="BE547" s="167"/>
      <c r="BF547" s="85"/>
      <c r="BG547" s="168"/>
      <c r="BH547" s="175"/>
      <c r="BI547" s="127"/>
      <c r="BJ547" s="176"/>
      <c r="BK547" s="184"/>
      <c r="BL547" s="130"/>
      <c r="BM547" s="185"/>
      <c r="BN547" s="69"/>
      <c r="BO547" s="85"/>
      <c r="BP547" s="85"/>
      <c r="BQ547" s="85"/>
      <c r="BR547" s="85"/>
      <c r="BS547" s="85"/>
      <c r="BT547" s="85"/>
      <c r="BU547" s="87"/>
      <c r="BV547" s="87"/>
      <c r="BW547" s="87"/>
      <c r="BX547" s="87"/>
      <c r="BY547" s="87"/>
      <c r="BZ547" s="87"/>
      <c r="CA547" s="90"/>
      <c r="CB547" s="90"/>
      <c r="CC547" s="90"/>
      <c r="CD547" s="90"/>
      <c r="CE547" s="90"/>
      <c r="CF547" s="90"/>
      <c r="CG547" s="85"/>
      <c r="CH547" s="85"/>
      <c r="CI547" s="85"/>
      <c r="CJ547" s="85"/>
      <c r="CK547" s="85"/>
      <c r="CL547" s="87"/>
      <c r="CM547" s="87"/>
      <c r="CN547" s="87"/>
      <c r="CO547" s="87"/>
      <c r="CP547" s="90"/>
      <c r="CQ547" s="90"/>
      <c r="CR547" s="90"/>
      <c r="CS547" s="90"/>
      <c r="CT547" s="85"/>
      <c r="CU547" s="85"/>
      <c r="CV547" s="85"/>
      <c r="CW547" s="85"/>
      <c r="CX547" s="85"/>
      <c r="CY547" s="85"/>
      <c r="CZ547" s="85"/>
      <c r="DA547" s="33">
        <f t="shared" si="7"/>
        <v>0</v>
      </c>
    </row>
    <row r="548" spans="36:105" ht="19" x14ac:dyDescent="0.25">
      <c r="AJ548" s="63"/>
      <c r="AK548" s="20"/>
      <c r="AL548" s="21"/>
      <c r="AM548" s="22"/>
      <c r="AN548" s="23"/>
      <c r="AO548" s="24"/>
      <c r="AP548" s="25"/>
      <c r="AQ548" s="26"/>
      <c r="AR548" s="27"/>
      <c r="AS548" s="192"/>
      <c r="AT548" s="111"/>
      <c r="AU548" s="193"/>
      <c r="AV548" s="140"/>
      <c r="AW548" s="118"/>
      <c r="AX548" s="141"/>
      <c r="AY548" s="149"/>
      <c r="AZ548" s="121"/>
      <c r="BA548" s="150"/>
      <c r="BB548" s="158"/>
      <c r="BC548" s="124"/>
      <c r="BD548" s="159"/>
      <c r="BE548" s="167"/>
      <c r="BF548" s="85"/>
      <c r="BG548" s="168"/>
      <c r="BH548" s="175"/>
      <c r="BI548" s="127"/>
      <c r="BJ548" s="176"/>
      <c r="BK548" s="184"/>
      <c r="BL548" s="130"/>
      <c r="BM548" s="185"/>
      <c r="BN548" s="69"/>
      <c r="BO548" s="85"/>
      <c r="BP548" s="85"/>
      <c r="BQ548" s="85"/>
      <c r="BR548" s="85"/>
      <c r="BS548" s="85"/>
      <c r="BT548" s="85"/>
      <c r="BU548" s="87"/>
      <c r="BV548" s="87"/>
      <c r="BW548" s="87"/>
      <c r="BX548" s="87"/>
      <c r="BY548" s="87"/>
      <c r="BZ548" s="87"/>
      <c r="CA548" s="90"/>
      <c r="CB548" s="90"/>
      <c r="CC548" s="90"/>
      <c r="CD548" s="90"/>
      <c r="CE548" s="90"/>
      <c r="CF548" s="90"/>
      <c r="CG548" s="85"/>
      <c r="CH548" s="85"/>
      <c r="CI548" s="85"/>
      <c r="CJ548" s="85"/>
      <c r="CK548" s="85"/>
      <c r="CL548" s="87"/>
      <c r="CM548" s="87"/>
      <c r="CN548" s="87"/>
      <c r="CO548" s="87"/>
      <c r="CP548" s="90"/>
      <c r="CQ548" s="90"/>
      <c r="CR548" s="90"/>
      <c r="CS548" s="90"/>
      <c r="CT548" s="85"/>
      <c r="CU548" s="85"/>
      <c r="CV548" s="85"/>
      <c r="CW548" s="85"/>
      <c r="CX548" s="85"/>
      <c r="CY548" s="85"/>
      <c r="CZ548" s="85"/>
      <c r="DA548" s="33">
        <f t="shared" si="7"/>
        <v>0</v>
      </c>
    </row>
    <row r="549" spans="36:105" ht="19" x14ac:dyDescent="0.25">
      <c r="AJ549" s="63"/>
      <c r="AK549" s="20"/>
      <c r="AL549" s="21"/>
      <c r="AM549" s="22"/>
      <c r="AN549" s="23"/>
      <c r="AO549" s="24"/>
      <c r="AP549" s="25"/>
      <c r="AQ549" s="26"/>
      <c r="AR549" s="27"/>
      <c r="AS549" s="192"/>
      <c r="AT549" s="111"/>
      <c r="AU549" s="193"/>
      <c r="AV549" s="140"/>
      <c r="AW549" s="118"/>
      <c r="AX549" s="141"/>
      <c r="AY549" s="149"/>
      <c r="AZ549" s="121"/>
      <c r="BA549" s="150"/>
      <c r="BB549" s="158"/>
      <c r="BC549" s="124"/>
      <c r="BD549" s="159"/>
      <c r="BE549" s="167"/>
      <c r="BF549" s="85"/>
      <c r="BG549" s="168"/>
      <c r="BH549" s="175"/>
      <c r="BI549" s="127"/>
      <c r="BJ549" s="176"/>
      <c r="BK549" s="184"/>
      <c r="BL549" s="130"/>
      <c r="BM549" s="185"/>
      <c r="BN549" s="69"/>
      <c r="BO549" s="85"/>
      <c r="BP549" s="85"/>
      <c r="BQ549" s="85"/>
      <c r="BR549" s="85"/>
      <c r="BS549" s="85"/>
      <c r="BT549" s="85"/>
      <c r="BU549" s="87"/>
      <c r="BV549" s="87"/>
      <c r="BW549" s="87"/>
      <c r="BX549" s="87"/>
      <c r="BY549" s="87"/>
      <c r="BZ549" s="87"/>
      <c r="CA549" s="90"/>
      <c r="CB549" s="90"/>
      <c r="CC549" s="90"/>
      <c r="CD549" s="90"/>
      <c r="CE549" s="90"/>
      <c r="CF549" s="90"/>
      <c r="CG549" s="85"/>
      <c r="CH549" s="85"/>
      <c r="CI549" s="85"/>
      <c r="CJ549" s="85"/>
      <c r="CK549" s="85"/>
      <c r="CL549" s="87"/>
      <c r="CM549" s="87"/>
      <c r="CN549" s="87"/>
      <c r="CO549" s="87"/>
      <c r="CP549" s="90"/>
      <c r="CQ549" s="90"/>
      <c r="CR549" s="90"/>
      <c r="CS549" s="90"/>
      <c r="CT549" s="85"/>
      <c r="CU549" s="85"/>
      <c r="CV549" s="85"/>
      <c r="CW549" s="85"/>
      <c r="CX549" s="85"/>
      <c r="CY549" s="85"/>
      <c r="CZ549" s="85"/>
      <c r="DA549" s="33">
        <f t="shared" si="7"/>
        <v>0</v>
      </c>
    </row>
    <row r="550" spans="36:105" ht="19" x14ac:dyDescent="0.25">
      <c r="AJ550" s="63"/>
      <c r="AK550" s="20"/>
      <c r="AL550" s="21"/>
      <c r="AM550" s="22"/>
      <c r="AN550" s="23"/>
      <c r="AO550" s="24"/>
      <c r="AP550" s="25"/>
      <c r="AQ550" s="26"/>
      <c r="AR550" s="27"/>
      <c r="AS550" s="192"/>
      <c r="AT550" s="111"/>
      <c r="AU550" s="193"/>
      <c r="AV550" s="140"/>
      <c r="AW550" s="118"/>
      <c r="AX550" s="141"/>
      <c r="AY550" s="149"/>
      <c r="AZ550" s="121"/>
      <c r="BA550" s="150"/>
      <c r="BB550" s="158"/>
      <c r="BC550" s="124"/>
      <c r="BD550" s="159"/>
      <c r="BE550" s="167"/>
      <c r="BF550" s="85"/>
      <c r="BG550" s="168"/>
      <c r="BH550" s="175"/>
      <c r="BI550" s="127"/>
      <c r="BJ550" s="176"/>
      <c r="BK550" s="184"/>
      <c r="BL550" s="130"/>
      <c r="BM550" s="185"/>
      <c r="BN550" s="69"/>
      <c r="BO550" s="85"/>
      <c r="BP550" s="85"/>
      <c r="BQ550" s="85"/>
      <c r="BR550" s="85"/>
      <c r="BS550" s="85"/>
      <c r="BT550" s="85"/>
      <c r="BU550" s="87"/>
      <c r="BV550" s="87"/>
      <c r="BW550" s="87"/>
      <c r="BX550" s="87"/>
      <c r="BY550" s="87"/>
      <c r="BZ550" s="87"/>
      <c r="CA550" s="90"/>
      <c r="CB550" s="90"/>
      <c r="CC550" s="90"/>
      <c r="CD550" s="90"/>
      <c r="CE550" s="90"/>
      <c r="CF550" s="90"/>
      <c r="CG550" s="85"/>
      <c r="CH550" s="85"/>
      <c r="CI550" s="85"/>
      <c r="CJ550" s="85"/>
      <c r="CK550" s="85"/>
      <c r="CL550" s="87"/>
      <c r="CM550" s="87"/>
      <c r="CN550" s="87"/>
      <c r="CO550" s="87"/>
      <c r="CP550" s="90"/>
      <c r="CQ550" s="90"/>
      <c r="CR550" s="90"/>
      <c r="CS550" s="90"/>
      <c r="CT550" s="85"/>
      <c r="CU550" s="85"/>
      <c r="CV550" s="85"/>
      <c r="CW550" s="85"/>
      <c r="CX550" s="85"/>
      <c r="CY550" s="85"/>
      <c r="CZ550" s="85"/>
      <c r="DA550" s="33">
        <f t="shared" ref="DA550:DA613" si="8">D550</f>
        <v>0</v>
      </c>
    </row>
    <row r="551" spans="36:105" ht="19" x14ac:dyDescent="0.25">
      <c r="AJ551" s="63"/>
      <c r="AK551" s="20"/>
      <c r="AL551" s="21"/>
      <c r="AM551" s="22"/>
      <c r="AN551" s="23"/>
      <c r="AO551" s="24"/>
      <c r="AP551" s="25"/>
      <c r="AQ551" s="26"/>
      <c r="AR551" s="27"/>
      <c r="AS551" s="192"/>
      <c r="AT551" s="111"/>
      <c r="AU551" s="193"/>
      <c r="AV551" s="140"/>
      <c r="AW551" s="118"/>
      <c r="AX551" s="141"/>
      <c r="AY551" s="149"/>
      <c r="AZ551" s="121"/>
      <c r="BA551" s="150"/>
      <c r="BB551" s="158"/>
      <c r="BC551" s="124"/>
      <c r="BD551" s="159"/>
      <c r="BE551" s="167"/>
      <c r="BF551" s="85"/>
      <c r="BG551" s="168"/>
      <c r="BH551" s="175"/>
      <c r="BI551" s="127"/>
      <c r="BJ551" s="176"/>
      <c r="BK551" s="184"/>
      <c r="BL551" s="130"/>
      <c r="BM551" s="185"/>
      <c r="BN551" s="69"/>
      <c r="BO551" s="85"/>
      <c r="BP551" s="85"/>
      <c r="BQ551" s="85"/>
      <c r="BR551" s="85"/>
      <c r="BS551" s="85"/>
      <c r="BT551" s="85"/>
      <c r="BU551" s="87"/>
      <c r="BV551" s="87"/>
      <c r="BW551" s="87"/>
      <c r="BX551" s="87"/>
      <c r="BY551" s="87"/>
      <c r="BZ551" s="87"/>
      <c r="CA551" s="90"/>
      <c r="CB551" s="90"/>
      <c r="CC551" s="90"/>
      <c r="CD551" s="90"/>
      <c r="CE551" s="90"/>
      <c r="CF551" s="90"/>
      <c r="CG551" s="85"/>
      <c r="CH551" s="85"/>
      <c r="CI551" s="85"/>
      <c r="CJ551" s="85"/>
      <c r="CK551" s="85"/>
      <c r="CL551" s="87"/>
      <c r="CM551" s="87"/>
      <c r="CN551" s="87"/>
      <c r="CO551" s="87"/>
      <c r="CP551" s="90"/>
      <c r="CQ551" s="90"/>
      <c r="CR551" s="90"/>
      <c r="CS551" s="90"/>
      <c r="CT551" s="85"/>
      <c r="CU551" s="85"/>
      <c r="CV551" s="85"/>
      <c r="CW551" s="85"/>
      <c r="CX551" s="85"/>
      <c r="CY551" s="85"/>
      <c r="CZ551" s="85"/>
      <c r="DA551" s="33">
        <f t="shared" si="8"/>
        <v>0</v>
      </c>
    </row>
    <row r="552" spans="36:105" ht="19" x14ac:dyDescent="0.25">
      <c r="AJ552" s="63"/>
      <c r="AK552" s="20"/>
      <c r="AL552" s="21"/>
      <c r="AM552" s="22"/>
      <c r="AN552" s="23"/>
      <c r="AO552" s="24"/>
      <c r="AP552" s="25"/>
      <c r="AQ552" s="26"/>
      <c r="AR552" s="27"/>
      <c r="AS552" s="192"/>
      <c r="AT552" s="111"/>
      <c r="AU552" s="193"/>
      <c r="AV552" s="140"/>
      <c r="AW552" s="118"/>
      <c r="AX552" s="141"/>
      <c r="AY552" s="149"/>
      <c r="AZ552" s="121"/>
      <c r="BA552" s="150"/>
      <c r="BB552" s="158"/>
      <c r="BC552" s="124"/>
      <c r="BD552" s="159"/>
      <c r="BE552" s="167"/>
      <c r="BF552" s="85"/>
      <c r="BG552" s="168"/>
      <c r="BH552" s="175"/>
      <c r="BI552" s="127"/>
      <c r="BJ552" s="176"/>
      <c r="BK552" s="184"/>
      <c r="BL552" s="130"/>
      <c r="BM552" s="185"/>
      <c r="BN552" s="69"/>
      <c r="BO552" s="85"/>
      <c r="BP552" s="85"/>
      <c r="BQ552" s="85"/>
      <c r="BR552" s="85"/>
      <c r="BS552" s="85"/>
      <c r="BT552" s="85"/>
      <c r="BU552" s="87"/>
      <c r="BV552" s="87"/>
      <c r="BW552" s="87"/>
      <c r="BX552" s="87"/>
      <c r="BY552" s="87"/>
      <c r="BZ552" s="87"/>
      <c r="CA552" s="90"/>
      <c r="CB552" s="90"/>
      <c r="CC552" s="90"/>
      <c r="CD552" s="90"/>
      <c r="CE552" s="90"/>
      <c r="CF552" s="90"/>
      <c r="CG552" s="85"/>
      <c r="CH552" s="85"/>
      <c r="CI552" s="85"/>
      <c r="CJ552" s="85"/>
      <c r="CK552" s="85"/>
      <c r="CL552" s="87"/>
      <c r="CM552" s="87"/>
      <c r="CN552" s="87"/>
      <c r="CO552" s="87"/>
      <c r="CP552" s="90"/>
      <c r="CQ552" s="90"/>
      <c r="CR552" s="90"/>
      <c r="CS552" s="90"/>
      <c r="CT552" s="85"/>
      <c r="CU552" s="85"/>
      <c r="CV552" s="85"/>
      <c r="CW552" s="85"/>
      <c r="CX552" s="85"/>
      <c r="CY552" s="85"/>
      <c r="CZ552" s="85"/>
      <c r="DA552" s="33">
        <f t="shared" si="8"/>
        <v>0</v>
      </c>
    </row>
    <row r="553" spans="36:105" ht="19" x14ac:dyDescent="0.25">
      <c r="AJ553" s="63"/>
      <c r="AK553" s="20"/>
      <c r="AL553" s="21"/>
      <c r="AM553" s="22"/>
      <c r="AN553" s="23"/>
      <c r="AO553" s="24"/>
      <c r="AP553" s="25"/>
      <c r="AQ553" s="26"/>
      <c r="AR553" s="27"/>
      <c r="AS553" s="192"/>
      <c r="AT553" s="111"/>
      <c r="AU553" s="193"/>
      <c r="AV553" s="140"/>
      <c r="AW553" s="118"/>
      <c r="AX553" s="141"/>
      <c r="AY553" s="149"/>
      <c r="AZ553" s="121"/>
      <c r="BA553" s="150"/>
      <c r="BB553" s="158"/>
      <c r="BC553" s="124"/>
      <c r="BD553" s="159"/>
      <c r="BE553" s="167"/>
      <c r="BF553" s="85"/>
      <c r="BG553" s="168"/>
      <c r="BH553" s="175"/>
      <c r="BI553" s="127"/>
      <c r="BJ553" s="176"/>
      <c r="BK553" s="184"/>
      <c r="BL553" s="130"/>
      <c r="BM553" s="185"/>
      <c r="BN553" s="69"/>
      <c r="BO553" s="85"/>
      <c r="BP553" s="85"/>
      <c r="BQ553" s="85"/>
      <c r="BR553" s="85"/>
      <c r="BS553" s="85"/>
      <c r="BT553" s="85"/>
      <c r="BU553" s="87"/>
      <c r="BV553" s="87"/>
      <c r="BW553" s="87"/>
      <c r="BX553" s="87"/>
      <c r="BY553" s="87"/>
      <c r="BZ553" s="87"/>
      <c r="CA553" s="90"/>
      <c r="CB553" s="90"/>
      <c r="CC553" s="90"/>
      <c r="CD553" s="90"/>
      <c r="CE553" s="90"/>
      <c r="CF553" s="90"/>
      <c r="CG553" s="85"/>
      <c r="CH553" s="85"/>
      <c r="CI553" s="85"/>
      <c r="CJ553" s="85"/>
      <c r="CK553" s="85"/>
      <c r="CL553" s="87"/>
      <c r="CM553" s="87"/>
      <c r="CN553" s="87"/>
      <c r="CO553" s="87"/>
      <c r="CP553" s="90"/>
      <c r="CQ553" s="90"/>
      <c r="CR553" s="90"/>
      <c r="CS553" s="90"/>
      <c r="CT553" s="85"/>
      <c r="CU553" s="85"/>
      <c r="CV553" s="85"/>
      <c r="CW553" s="85"/>
      <c r="CX553" s="85"/>
      <c r="CY553" s="85"/>
      <c r="CZ553" s="85"/>
      <c r="DA553" s="33">
        <f t="shared" si="8"/>
        <v>0</v>
      </c>
    </row>
    <row r="554" spans="36:105" ht="19" x14ac:dyDescent="0.25">
      <c r="AJ554" s="63"/>
      <c r="AK554" s="20"/>
      <c r="AL554" s="21"/>
      <c r="AM554" s="22"/>
      <c r="AN554" s="23"/>
      <c r="AO554" s="24"/>
      <c r="AP554" s="25"/>
      <c r="AQ554" s="26"/>
      <c r="AR554" s="27"/>
      <c r="AS554" s="192"/>
      <c r="AT554" s="111"/>
      <c r="AU554" s="193"/>
      <c r="AV554" s="140"/>
      <c r="AW554" s="118"/>
      <c r="AX554" s="141"/>
      <c r="AY554" s="149"/>
      <c r="AZ554" s="121"/>
      <c r="BA554" s="150"/>
      <c r="BB554" s="158"/>
      <c r="BC554" s="124"/>
      <c r="BD554" s="159"/>
      <c r="BE554" s="167"/>
      <c r="BF554" s="85"/>
      <c r="BG554" s="168"/>
      <c r="BH554" s="175"/>
      <c r="BI554" s="127"/>
      <c r="BJ554" s="176"/>
      <c r="BK554" s="184"/>
      <c r="BL554" s="130"/>
      <c r="BM554" s="185"/>
      <c r="BN554" s="69"/>
      <c r="BO554" s="85"/>
      <c r="BP554" s="85"/>
      <c r="BQ554" s="85"/>
      <c r="BR554" s="85"/>
      <c r="BS554" s="85"/>
      <c r="BT554" s="85"/>
      <c r="BU554" s="87"/>
      <c r="BV554" s="87"/>
      <c r="BW554" s="87"/>
      <c r="BX554" s="87"/>
      <c r="BY554" s="87"/>
      <c r="BZ554" s="87"/>
      <c r="CA554" s="90"/>
      <c r="CB554" s="90"/>
      <c r="CC554" s="90"/>
      <c r="CD554" s="90"/>
      <c r="CE554" s="90"/>
      <c r="CF554" s="90"/>
      <c r="CG554" s="85"/>
      <c r="CH554" s="85"/>
      <c r="CI554" s="85"/>
      <c r="CJ554" s="85"/>
      <c r="CK554" s="85"/>
      <c r="CL554" s="87"/>
      <c r="CM554" s="87"/>
      <c r="CN554" s="87"/>
      <c r="CO554" s="87"/>
      <c r="CP554" s="90"/>
      <c r="CQ554" s="90"/>
      <c r="CR554" s="90"/>
      <c r="CS554" s="90"/>
      <c r="CT554" s="85"/>
      <c r="CU554" s="85"/>
      <c r="CV554" s="85"/>
      <c r="CW554" s="85"/>
      <c r="CX554" s="85"/>
      <c r="CY554" s="85"/>
      <c r="CZ554" s="85"/>
      <c r="DA554" s="33">
        <f t="shared" si="8"/>
        <v>0</v>
      </c>
    </row>
    <row r="555" spans="36:105" ht="19" x14ac:dyDescent="0.25">
      <c r="AJ555" s="63"/>
      <c r="AK555" s="20"/>
      <c r="AL555" s="21"/>
      <c r="AM555" s="22"/>
      <c r="AN555" s="23"/>
      <c r="AO555" s="24"/>
      <c r="AP555" s="25"/>
      <c r="AQ555" s="26"/>
      <c r="AR555" s="27"/>
      <c r="AS555" s="192"/>
      <c r="AT555" s="111"/>
      <c r="AU555" s="193"/>
      <c r="AV555" s="140"/>
      <c r="AW555" s="118"/>
      <c r="AX555" s="141"/>
      <c r="AY555" s="149"/>
      <c r="AZ555" s="121"/>
      <c r="BA555" s="150"/>
      <c r="BB555" s="158"/>
      <c r="BC555" s="124"/>
      <c r="BD555" s="159"/>
      <c r="BE555" s="167"/>
      <c r="BF555" s="85"/>
      <c r="BG555" s="168"/>
      <c r="BH555" s="175"/>
      <c r="BI555" s="127"/>
      <c r="BJ555" s="176"/>
      <c r="BK555" s="184"/>
      <c r="BL555" s="130"/>
      <c r="BM555" s="185"/>
      <c r="BN555" s="69"/>
      <c r="BO555" s="85"/>
      <c r="BP555" s="85"/>
      <c r="BQ555" s="85"/>
      <c r="BR555" s="85"/>
      <c r="BS555" s="85"/>
      <c r="BT555" s="85"/>
      <c r="BU555" s="87"/>
      <c r="BV555" s="87"/>
      <c r="BW555" s="87"/>
      <c r="BX555" s="87"/>
      <c r="BY555" s="87"/>
      <c r="BZ555" s="87"/>
      <c r="CA555" s="90"/>
      <c r="CB555" s="90"/>
      <c r="CC555" s="90"/>
      <c r="CD555" s="90"/>
      <c r="CE555" s="90"/>
      <c r="CF555" s="90"/>
      <c r="CG555" s="85"/>
      <c r="CH555" s="85"/>
      <c r="CI555" s="85"/>
      <c r="CJ555" s="85"/>
      <c r="CK555" s="85"/>
      <c r="CL555" s="87"/>
      <c r="CM555" s="87"/>
      <c r="CN555" s="87"/>
      <c r="CO555" s="87"/>
      <c r="CP555" s="90"/>
      <c r="CQ555" s="90"/>
      <c r="CR555" s="90"/>
      <c r="CS555" s="90"/>
      <c r="CT555" s="85"/>
      <c r="CU555" s="85"/>
      <c r="CV555" s="85"/>
      <c r="CW555" s="85"/>
      <c r="CX555" s="85"/>
      <c r="CY555" s="85"/>
      <c r="CZ555" s="85"/>
      <c r="DA555" s="33">
        <f t="shared" si="8"/>
        <v>0</v>
      </c>
    </row>
    <row r="556" spans="36:105" ht="19" x14ac:dyDescent="0.25">
      <c r="AJ556" s="63"/>
      <c r="AK556" s="20"/>
      <c r="AL556" s="21"/>
      <c r="AM556" s="22"/>
      <c r="AN556" s="23"/>
      <c r="AO556" s="24"/>
      <c r="AP556" s="25"/>
      <c r="AQ556" s="26"/>
      <c r="AR556" s="27"/>
      <c r="AS556" s="192"/>
      <c r="AT556" s="111"/>
      <c r="AU556" s="193"/>
      <c r="AV556" s="140"/>
      <c r="AW556" s="118"/>
      <c r="AX556" s="141"/>
      <c r="AY556" s="149"/>
      <c r="AZ556" s="121"/>
      <c r="BA556" s="150"/>
      <c r="BB556" s="158"/>
      <c r="BC556" s="124"/>
      <c r="BD556" s="159"/>
      <c r="BE556" s="167"/>
      <c r="BF556" s="85"/>
      <c r="BG556" s="168"/>
      <c r="BH556" s="175"/>
      <c r="BI556" s="127"/>
      <c r="BJ556" s="176"/>
      <c r="BK556" s="184"/>
      <c r="BL556" s="130"/>
      <c r="BM556" s="185"/>
      <c r="BN556" s="69"/>
      <c r="BO556" s="85"/>
      <c r="BP556" s="85"/>
      <c r="BQ556" s="85"/>
      <c r="BR556" s="85"/>
      <c r="BS556" s="85"/>
      <c r="BT556" s="85"/>
      <c r="BU556" s="87"/>
      <c r="BV556" s="87"/>
      <c r="BW556" s="87"/>
      <c r="BX556" s="87"/>
      <c r="BY556" s="87"/>
      <c r="BZ556" s="87"/>
      <c r="CA556" s="90"/>
      <c r="CB556" s="90"/>
      <c r="CC556" s="90"/>
      <c r="CD556" s="90"/>
      <c r="CE556" s="90"/>
      <c r="CF556" s="90"/>
      <c r="CG556" s="85"/>
      <c r="CH556" s="85"/>
      <c r="CI556" s="85"/>
      <c r="CJ556" s="85"/>
      <c r="CK556" s="85"/>
      <c r="CL556" s="87"/>
      <c r="CM556" s="87"/>
      <c r="CN556" s="87"/>
      <c r="CO556" s="87"/>
      <c r="CP556" s="90"/>
      <c r="CQ556" s="90"/>
      <c r="CR556" s="90"/>
      <c r="CS556" s="90"/>
      <c r="CT556" s="85"/>
      <c r="CU556" s="85"/>
      <c r="CV556" s="85"/>
      <c r="CW556" s="85"/>
      <c r="CX556" s="85"/>
      <c r="CY556" s="85"/>
      <c r="CZ556" s="85"/>
      <c r="DA556" s="33">
        <f t="shared" si="8"/>
        <v>0</v>
      </c>
    </row>
    <row r="557" spans="36:105" ht="19" x14ac:dyDescent="0.25">
      <c r="AJ557" s="63"/>
      <c r="AK557" s="20"/>
      <c r="AL557" s="21"/>
      <c r="AM557" s="22"/>
      <c r="AN557" s="23"/>
      <c r="AO557" s="24"/>
      <c r="AP557" s="25"/>
      <c r="AQ557" s="26"/>
      <c r="AR557" s="27"/>
      <c r="AS557" s="192"/>
      <c r="AT557" s="111"/>
      <c r="AU557" s="193"/>
      <c r="AV557" s="140"/>
      <c r="AW557" s="118"/>
      <c r="AX557" s="141"/>
      <c r="AY557" s="149"/>
      <c r="AZ557" s="121"/>
      <c r="BA557" s="150"/>
      <c r="BB557" s="158"/>
      <c r="BC557" s="124"/>
      <c r="BD557" s="159"/>
      <c r="BE557" s="167"/>
      <c r="BF557" s="85"/>
      <c r="BG557" s="168"/>
      <c r="BH557" s="175"/>
      <c r="BI557" s="127"/>
      <c r="BJ557" s="176"/>
      <c r="BK557" s="184"/>
      <c r="BL557" s="130"/>
      <c r="BM557" s="185"/>
      <c r="BN557" s="69"/>
      <c r="BO557" s="85"/>
      <c r="BP557" s="85"/>
      <c r="BQ557" s="85"/>
      <c r="BR557" s="85"/>
      <c r="BS557" s="85"/>
      <c r="BT557" s="85"/>
      <c r="BU557" s="87"/>
      <c r="BV557" s="87"/>
      <c r="BW557" s="87"/>
      <c r="BX557" s="87"/>
      <c r="BY557" s="87"/>
      <c r="BZ557" s="87"/>
      <c r="CA557" s="90"/>
      <c r="CB557" s="90"/>
      <c r="CC557" s="90"/>
      <c r="CD557" s="90"/>
      <c r="CE557" s="90"/>
      <c r="CF557" s="90"/>
      <c r="CG557" s="85"/>
      <c r="CH557" s="85"/>
      <c r="CI557" s="85"/>
      <c r="CJ557" s="85"/>
      <c r="CK557" s="85"/>
      <c r="CL557" s="87"/>
      <c r="CM557" s="87"/>
      <c r="CN557" s="87"/>
      <c r="CO557" s="87"/>
      <c r="CP557" s="90"/>
      <c r="CQ557" s="90"/>
      <c r="CR557" s="90"/>
      <c r="CS557" s="90"/>
      <c r="CT557" s="85"/>
      <c r="CU557" s="85"/>
      <c r="CV557" s="85"/>
      <c r="CW557" s="85"/>
      <c r="CX557" s="85"/>
      <c r="CY557" s="85"/>
      <c r="CZ557" s="85"/>
      <c r="DA557" s="33">
        <f t="shared" si="8"/>
        <v>0</v>
      </c>
    </row>
    <row r="558" spans="36:105" ht="19" x14ac:dyDescent="0.25">
      <c r="AJ558" s="63"/>
      <c r="AK558" s="20"/>
      <c r="AL558" s="21"/>
      <c r="AM558" s="22"/>
      <c r="AN558" s="23"/>
      <c r="AO558" s="24"/>
      <c r="AP558" s="25"/>
      <c r="AQ558" s="26"/>
      <c r="AR558" s="27"/>
      <c r="AS558" s="192"/>
      <c r="AT558" s="111"/>
      <c r="AU558" s="193"/>
      <c r="AV558" s="140"/>
      <c r="AW558" s="118"/>
      <c r="AX558" s="141"/>
      <c r="AY558" s="149"/>
      <c r="AZ558" s="121"/>
      <c r="BA558" s="150"/>
      <c r="BB558" s="158"/>
      <c r="BC558" s="124"/>
      <c r="BD558" s="159"/>
      <c r="BE558" s="167"/>
      <c r="BF558" s="85"/>
      <c r="BG558" s="168"/>
      <c r="BH558" s="175"/>
      <c r="BI558" s="127"/>
      <c r="BJ558" s="176"/>
      <c r="BK558" s="184"/>
      <c r="BL558" s="130"/>
      <c r="BM558" s="185"/>
      <c r="BN558" s="69"/>
      <c r="BO558" s="85"/>
      <c r="BP558" s="85"/>
      <c r="BQ558" s="85"/>
      <c r="BR558" s="85"/>
      <c r="BS558" s="85"/>
      <c r="BT558" s="85"/>
      <c r="BU558" s="87"/>
      <c r="BV558" s="87"/>
      <c r="BW558" s="87"/>
      <c r="BX558" s="87"/>
      <c r="BY558" s="87"/>
      <c r="BZ558" s="87"/>
      <c r="CA558" s="90"/>
      <c r="CB558" s="90"/>
      <c r="CC558" s="90"/>
      <c r="CD558" s="90"/>
      <c r="CE558" s="90"/>
      <c r="CF558" s="90"/>
      <c r="CG558" s="85"/>
      <c r="CH558" s="85"/>
      <c r="CI558" s="85"/>
      <c r="CJ558" s="85"/>
      <c r="CK558" s="85"/>
      <c r="CL558" s="87"/>
      <c r="CM558" s="87"/>
      <c r="CN558" s="87"/>
      <c r="CO558" s="87"/>
      <c r="CP558" s="90"/>
      <c r="CQ558" s="90"/>
      <c r="CR558" s="90"/>
      <c r="CS558" s="90"/>
      <c r="CT558" s="85"/>
      <c r="CU558" s="85"/>
      <c r="CV558" s="85"/>
      <c r="CW558" s="85"/>
      <c r="CX558" s="85"/>
      <c r="CY558" s="85"/>
      <c r="CZ558" s="85"/>
      <c r="DA558" s="33">
        <f t="shared" si="8"/>
        <v>0</v>
      </c>
    </row>
    <row r="559" spans="36:105" ht="19" x14ac:dyDescent="0.25">
      <c r="AJ559" s="63"/>
      <c r="AK559" s="20"/>
      <c r="AL559" s="21"/>
      <c r="AM559" s="22"/>
      <c r="AN559" s="23"/>
      <c r="AO559" s="24"/>
      <c r="AP559" s="25"/>
      <c r="AQ559" s="26"/>
      <c r="AR559" s="27"/>
      <c r="AS559" s="192"/>
      <c r="AT559" s="111"/>
      <c r="AU559" s="193"/>
      <c r="AV559" s="140"/>
      <c r="AW559" s="118"/>
      <c r="AX559" s="141"/>
      <c r="AY559" s="149"/>
      <c r="AZ559" s="121"/>
      <c r="BA559" s="150"/>
      <c r="BB559" s="158"/>
      <c r="BC559" s="124"/>
      <c r="BD559" s="159"/>
      <c r="BE559" s="167"/>
      <c r="BF559" s="85"/>
      <c r="BG559" s="168"/>
      <c r="BH559" s="175"/>
      <c r="BI559" s="127"/>
      <c r="BJ559" s="176"/>
      <c r="BK559" s="184"/>
      <c r="BL559" s="130"/>
      <c r="BM559" s="185"/>
      <c r="BN559" s="69"/>
      <c r="BO559" s="85"/>
      <c r="BP559" s="85"/>
      <c r="BQ559" s="85"/>
      <c r="BR559" s="85"/>
      <c r="BS559" s="85"/>
      <c r="BT559" s="85"/>
      <c r="BU559" s="87"/>
      <c r="BV559" s="87"/>
      <c r="BW559" s="87"/>
      <c r="BX559" s="87"/>
      <c r="BY559" s="87"/>
      <c r="BZ559" s="87"/>
      <c r="CA559" s="90"/>
      <c r="CB559" s="90"/>
      <c r="CC559" s="90"/>
      <c r="CD559" s="90"/>
      <c r="CE559" s="90"/>
      <c r="CF559" s="90"/>
      <c r="CG559" s="85"/>
      <c r="CH559" s="85"/>
      <c r="CI559" s="85"/>
      <c r="CJ559" s="85"/>
      <c r="CK559" s="85"/>
      <c r="CL559" s="87"/>
      <c r="CM559" s="87"/>
      <c r="CN559" s="87"/>
      <c r="CO559" s="87"/>
      <c r="CP559" s="90"/>
      <c r="CQ559" s="90"/>
      <c r="CR559" s="90"/>
      <c r="CS559" s="90"/>
      <c r="CT559" s="85"/>
      <c r="CU559" s="85"/>
      <c r="CV559" s="85"/>
      <c r="CW559" s="85"/>
      <c r="CX559" s="85"/>
      <c r="CY559" s="85"/>
      <c r="CZ559" s="85"/>
      <c r="DA559" s="33">
        <f t="shared" si="8"/>
        <v>0</v>
      </c>
    </row>
    <row r="560" spans="36:105" ht="19" x14ac:dyDescent="0.25">
      <c r="AJ560" s="63"/>
      <c r="AK560" s="20"/>
      <c r="AL560" s="21"/>
      <c r="AM560" s="22"/>
      <c r="AN560" s="23"/>
      <c r="AO560" s="24"/>
      <c r="AP560" s="25"/>
      <c r="AQ560" s="26"/>
      <c r="AR560" s="27"/>
      <c r="AS560" s="192"/>
      <c r="AT560" s="111"/>
      <c r="AU560" s="193"/>
      <c r="AV560" s="140"/>
      <c r="AW560" s="118"/>
      <c r="AX560" s="141"/>
      <c r="AY560" s="149"/>
      <c r="AZ560" s="121"/>
      <c r="BA560" s="150"/>
      <c r="BB560" s="158"/>
      <c r="BC560" s="124"/>
      <c r="BD560" s="159"/>
      <c r="BE560" s="167"/>
      <c r="BF560" s="85"/>
      <c r="BG560" s="168"/>
      <c r="BH560" s="175"/>
      <c r="BI560" s="127"/>
      <c r="BJ560" s="176"/>
      <c r="BK560" s="184"/>
      <c r="BL560" s="130"/>
      <c r="BM560" s="185"/>
      <c r="BN560" s="69"/>
      <c r="BO560" s="85"/>
      <c r="BP560" s="85"/>
      <c r="BQ560" s="85"/>
      <c r="BR560" s="85"/>
      <c r="BS560" s="85"/>
      <c r="BT560" s="85"/>
      <c r="BU560" s="87"/>
      <c r="BV560" s="87"/>
      <c r="BW560" s="87"/>
      <c r="BX560" s="87"/>
      <c r="BY560" s="87"/>
      <c r="BZ560" s="87"/>
      <c r="CA560" s="90"/>
      <c r="CB560" s="90"/>
      <c r="CC560" s="90"/>
      <c r="CD560" s="90"/>
      <c r="CE560" s="90"/>
      <c r="CF560" s="90"/>
      <c r="CG560" s="85"/>
      <c r="CH560" s="85"/>
      <c r="CI560" s="85"/>
      <c r="CJ560" s="85"/>
      <c r="CK560" s="85"/>
      <c r="CL560" s="87"/>
      <c r="CM560" s="87"/>
      <c r="CN560" s="87"/>
      <c r="CO560" s="87"/>
      <c r="CP560" s="90"/>
      <c r="CQ560" s="90"/>
      <c r="CR560" s="90"/>
      <c r="CS560" s="90"/>
      <c r="CT560" s="85"/>
      <c r="CU560" s="85"/>
      <c r="CV560" s="85"/>
      <c r="CW560" s="85"/>
      <c r="CX560" s="85"/>
      <c r="CY560" s="85"/>
      <c r="CZ560" s="85"/>
      <c r="DA560" s="33">
        <f t="shared" si="8"/>
        <v>0</v>
      </c>
    </row>
    <row r="561" spans="36:105" ht="19" x14ac:dyDescent="0.25">
      <c r="AJ561" s="63"/>
      <c r="AK561" s="20"/>
      <c r="AL561" s="21"/>
      <c r="AM561" s="22"/>
      <c r="AN561" s="23"/>
      <c r="AO561" s="24"/>
      <c r="AP561" s="25"/>
      <c r="AQ561" s="26"/>
      <c r="AR561" s="27"/>
      <c r="AS561" s="192"/>
      <c r="AT561" s="111"/>
      <c r="AU561" s="193"/>
      <c r="AV561" s="140"/>
      <c r="AW561" s="118"/>
      <c r="AX561" s="141"/>
      <c r="AY561" s="149"/>
      <c r="AZ561" s="121"/>
      <c r="BA561" s="150"/>
      <c r="BB561" s="158"/>
      <c r="BC561" s="124"/>
      <c r="BD561" s="159"/>
      <c r="BE561" s="167"/>
      <c r="BF561" s="85"/>
      <c r="BG561" s="168"/>
      <c r="BH561" s="175"/>
      <c r="BI561" s="127"/>
      <c r="BJ561" s="176"/>
      <c r="BK561" s="184"/>
      <c r="BL561" s="130"/>
      <c r="BM561" s="185"/>
      <c r="BN561" s="69"/>
      <c r="BO561" s="85"/>
      <c r="BP561" s="85"/>
      <c r="BQ561" s="85"/>
      <c r="BR561" s="85"/>
      <c r="BS561" s="85"/>
      <c r="BT561" s="85"/>
      <c r="BU561" s="87"/>
      <c r="BV561" s="87"/>
      <c r="BW561" s="87"/>
      <c r="BX561" s="87"/>
      <c r="BY561" s="87"/>
      <c r="BZ561" s="87"/>
      <c r="CA561" s="90"/>
      <c r="CB561" s="90"/>
      <c r="CC561" s="90"/>
      <c r="CD561" s="90"/>
      <c r="CE561" s="90"/>
      <c r="CF561" s="90"/>
      <c r="CG561" s="85"/>
      <c r="CH561" s="85"/>
      <c r="CI561" s="85"/>
      <c r="CJ561" s="85"/>
      <c r="CK561" s="85"/>
      <c r="CL561" s="87"/>
      <c r="CM561" s="87"/>
      <c r="CN561" s="87"/>
      <c r="CO561" s="87"/>
      <c r="CP561" s="90"/>
      <c r="CQ561" s="90"/>
      <c r="CR561" s="90"/>
      <c r="CS561" s="90"/>
      <c r="CT561" s="85"/>
      <c r="CU561" s="85"/>
      <c r="CV561" s="85"/>
      <c r="CW561" s="85"/>
      <c r="CX561" s="85"/>
      <c r="CY561" s="85"/>
      <c r="CZ561" s="85"/>
      <c r="DA561" s="33">
        <f t="shared" si="8"/>
        <v>0</v>
      </c>
    </row>
    <row r="562" spans="36:105" ht="19" x14ac:dyDescent="0.25">
      <c r="AJ562" s="63"/>
      <c r="AK562" s="20"/>
      <c r="AL562" s="21"/>
      <c r="AM562" s="22"/>
      <c r="AN562" s="23"/>
      <c r="AO562" s="24"/>
      <c r="AP562" s="25"/>
      <c r="AQ562" s="26"/>
      <c r="AR562" s="27"/>
      <c r="AS562" s="192"/>
      <c r="AT562" s="111"/>
      <c r="AU562" s="193"/>
      <c r="AV562" s="140"/>
      <c r="AW562" s="118"/>
      <c r="AX562" s="141"/>
      <c r="AY562" s="149"/>
      <c r="AZ562" s="121"/>
      <c r="BA562" s="150"/>
      <c r="BB562" s="158"/>
      <c r="BC562" s="124"/>
      <c r="BD562" s="159"/>
      <c r="BE562" s="167"/>
      <c r="BF562" s="85"/>
      <c r="BG562" s="168"/>
      <c r="BH562" s="175"/>
      <c r="BI562" s="127"/>
      <c r="BJ562" s="176"/>
      <c r="BK562" s="184"/>
      <c r="BL562" s="130"/>
      <c r="BM562" s="185"/>
      <c r="BN562" s="69"/>
      <c r="BO562" s="85"/>
      <c r="BP562" s="85"/>
      <c r="BQ562" s="85"/>
      <c r="BR562" s="85"/>
      <c r="BS562" s="85"/>
      <c r="BT562" s="85"/>
      <c r="BU562" s="87"/>
      <c r="BV562" s="87"/>
      <c r="BW562" s="87"/>
      <c r="BX562" s="87"/>
      <c r="BY562" s="87"/>
      <c r="BZ562" s="87"/>
      <c r="CA562" s="90"/>
      <c r="CB562" s="90"/>
      <c r="CC562" s="90"/>
      <c r="CD562" s="90"/>
      <c r="CE562" s="90"/>
      <c r="CF562" s="90"/>
      <c r="CG562" s="85"/>
      <c r="CH562" s="85"/>
      <c r="CI562" s="85"/>
      <c r="CJ562" s="85"/>
      <c r="CK562" s="85"/>
      <c r="CL562" s="87"/>
      <c r="CM562" s="87"/>
      <c r="CN562" s="87"/>
      <c r="CO562" s="87"/>
      <c r="CP562" s="90"/>
      <c r="CQ562" s="90"/>
      <c r="CR562" s="90"/>
      <c r="CS562" s="90"/>
      <c r="CT562" s="85"/>
      <c r="CU562" s="85"/>
      <c r="CV562" s="85"/>
      <c r="CW562" s="85"/>
      <c r="CX562" s="85"/>
      <c r="CY562" s="85"/>
      <c r="CZ562" s="85"/>
      <c r="DA562" s="33">
        <f t="shared" si="8"/>
        <v>0</v>
      </c>
    </row>
    <row r="563" spans="36:105" ht="19" x14ac:dyDescent="0.25">
      <c r="AJ563" s="63"/>
      <c r="AK563" s="20"/>
      <c r="AL563" s="21"/>
      <c r="AM563" s="22"/>
      <c r="AN563" s="23"/>
      <c r="AO563" s="24"/>
      <c r="AP563" s="25"/>
      <c r="AQ563" s="26"/>
      <c r="AR563" s="27"/>
      <c r="AS563" s="192"/>
      <c r="AT563" s="111"/>
      <c r="AU563" s="193"/>
      <c r="AV563" s="140"/>
      <c r="AW563" s="118"/>
      <c r="AX563" s="141"/>
      <c r="AY563" s="149"/>
      <c r="AZ563" s="121"/>
      <c r="BA563" s="150"/>
      <c r="BB563" s="158"/>
      <c r="BC563" s="124"/>
      <c r="BD563" s="159"/>
      <c r="BE563" s="167"/>
      <c r="BF563" s="85"/>
      <c r="BG563" s="168"/>
      <c r="BH563" s="175"/>
      <c r="BI563" s="127"/>
      <c r="BJ563" s="176"/>
      <c r="BK563" s="184"/>
      <c r="BL563" s="130"/>
      <c r="BM563" s="185"/>
      <c r="BN563" s="69"/>
      <c r="BO563" s="85"/>
      <c r="BP563" s="85"/>
      <c r="BQ563" s="85"/>
      <c r="BR563" s="85"/>
      <c r="BS563" s="85"/>
      <c r="BT563" s="85"/>
      <c r="BU563" s="87"/>
      <c r="BV563" s="87"/>
      <c r="BW563" s="87"/>
      <c r="BX563" s="87"/>
      <c r="BY563" s="87"/>
      <c r="BZ563" s="87"/>
      <c r="CA563" s="90"/>
      <c r="CB563" s="90"/>
      <c r="CC563" s="90"/>
      <c r="CD563" s="90"/>
      <c r="CE563" s="90"/>
      <c r="CF563" s="90"/>
      <c r="CG563" s="85"/>
      <c r="CH563" s="85"/>
      <c r="CI563" s="85"/>
      <c r="CJ563" s="85"/>
      <c r="CK563" s="85"/>
      <c r="CL563" s="87"/>
      <c r="CM563" s="87"/>
      <c r="CN563" s="87"/>
      <c r="CO563" s="87"/>
      <c r="CP563" s="90"/>
      <c r="CQ563" s="90"/>
      <c r="CR563" s="90"/>
      <c r="CS563" s="90"/>
      <c r="CT563" s="85"/>
      <c r="CU563" s="85"/>
      <c r="CV563" s="85"/>
      <c r="CW563" s="85"/>
      <c r="CX563" s="85"/>
      <c r="CY563" s="85"/>
      <c r="CZ563" s="85"/>
      <c r="DA563" s="33">
        <f t="shared" si="8"/>
        <v>0</v>
      </c>
    </row>
    <row r="564" spans="36:105" ht="19" x14ac:dyDescent="0.25">
      <c r="AJ564" s="63"/>
      <c r="AK564" s="20"/>
      <c r="AL564" s="21"/>
      <c r="AM564" s="22"/>
      <c r="AN564" s="23"/>
      <c r="AO564" s="24"/>
      <c r="AP564" s="25"/>
      <c r="AQ564" s="26"/>
      <c r="AR564" s="27"/>
      <c r="AS564" s="192"/>
      <c r="AT564" s="111"/>
      <c r="AU564" s="193"/>
      <c r="AV564" s="140"/>
      <c r="AW564" s="118"/>
      <c r="AX564" s="141"/>
      <c r="AY564" s="149"/>
      <c r="AZ564" s="121"/>
      <c r="BA564" s="150"/>
      <c r="BB564" s="158"/>
      <c r="BC564" s="124"/>
      <c r="BD564" s="159"/>
      <c r="BE564" s="167"/>
      <c r="BF564" s="85"/>
      <c r="BG564" s="168"/>
      <c r="BH564" s="175"/>
      <c r="BI564" s="127"/>
      <c r="BJ564" s="176"/>
      <c r="BK564" s="184"/>
      <c r="BL564" s="130"/>
      <c r="BM564" s="185"/>
      <c r="BN564" s="69"/>
      <c r="BO564" s="85"/>
      <c r="BP564" s="85"/>
      <c r="BQ564" s="85"/>
      <c r="BR564" s="85"/>
      <c r="BS564" s="85"/>
      <c r="BT564" s="85"/>
      <c r="BU564" s="87"/>
      <c r="BV564" s="87"/>
      <c r="BW564" s="87"/>
      <c r="BX564" s="87"/>
      <c r="BY564" s="87"/>
      <c r="BZ564" s="87"/>
      <c r="CA564" s="90"/>
      <c r="CB564" s="90"/>
      <c r="CC564" s="90"/>
      <c r="CD564" s="90"/>
      <c r="CE564" s="90"/>
      <c r="CF564" s="90"/>
      <c r="CG564" s="85"/>
      <c r="CH564" s="85"/>
      <c r="CI564" s="85"/>
      <c r="CJ564" s="85"/>
      <c r="CK564" s="85"/>
      <c r="CL564" s="87"/>
      <c r="CM564" s="87"/>
      <c r="CN564" s="87"/>
      <c r="CO564" s="87"/>
      <c r="CP564" s="90"/>
      <c r="CQ564" s="90"/>
      <c r="CR564" s="90"/>
      <c r="CS564" s="90"/>
      <c r="CT564" s="85"/>
      <c r="CU564" s="85"/>
      <c r="CV564" s="85"/>
      <c r="CW564" s="85"/>
      <c r="CX564" s="85"/>
      <c r="CY564" s="85"/>
      <c r="CZ564" s="85"/>
      <c r="DA564" s="33">
        <f t="shared" si="8"/>
        <v>0</v>
      </c>
    </row>
    <row r="565" spans="36:105" ht="19" x14ac:dyDescent="0.25">
      <c r="AJ565" s="63"/>
      <c r="AK565" s="20"/>
      <c r="AL565" s="21"/>
      <c r="AM565" s="22"/>
      <c r="AN565" s="23"/>
      <c r="AO565" s="24"/>
      <c r="AP565" s="25"/>
      <c r="AQ565" s="26"/>
      <c r="AR565" s="27"/>
      <c r="AS565" s="192"/>
      <c r="AT565" s="111"/>
      <c r="AU565" s="193"/>
      <c r="AV565" s="140"/>
      <c r="AW565" s="118"/>
      <c r="AX565" s="141"/>
      <c r="AY565" s="149"/>
      <c r="AZ565" s="121"/>
      <c r="BA565" s="150"/>
      <c r="BB565" s="158"/>
      <c r="BC565" s="124"/>
      <c r="BD565" s="159"/>
      <c r="BE565" s="167"/>
      <c r="BF565" s="85"/>
      <c r="BG565" s="168"/>
      <c r="BH565" s="175"/>
      <c r="BI565" s="127"/>
      <c r="BJ565" s="176"/>
      <c r="BK565" s="184"/>
      <c r="BL565" s="130"/>
      <c r="BM565" s="185"/>
      <c r="BN565" s="69"/>
      <c r="BO565" s="85"/>
      <c r="BP565" s="85"/>
      <c r="BQ565" s="85"/>
      <c r="BR565" s="85"/>
      <c r="BS565" s="85"/>
      <c r="BT565" s="85"/>
      <c r="BU565" s="87"/>
      <c r="BV565" s="87"/>
      <c r="BW565" s="87"/>
      <c r="BX565" s="87"/>
      <c r="BY565" s="87"/>
      <c r="BZ565" s="87"/>
      <c r="CA565" s="90"/>
      <c r="CB565" s="90"/>
      <c r="CC565" s="90"/>
      <c r="CD565" s="90"/>
      <c r="CE565" s="90"/>
      <c r="CF565" s="90"/>
      <c r="CG565" s="85"/>
      <c r="CH565" s="85"/>
      <c r="CI565" s="85"/>
      <c r="CJ565" s="85"/>
      <c r="CK565" s="85"/>
      <c r="CL565" s="87"/>
      <c r="CM565" s="87"/>
      <c r="CN565" s="87"/>
      <c r="CO565" s="87"/>
      <c r="CP565" s="90"/>
      <c r="CQ565" s="90"/>
      <c r="CR565" s="90"/>
      <c r="CS565" s="90"/>
      <c r="CT565" s="85"/>
      <c r="CU565" s="85"/>
      <c r="CV565" s="85"/>
      <c r="CW565" s="85"/>
      <c r="CX565" s="85"/>
      <c r="CY565" s="85"/>
      <c r="CZ565" s="85"/>
      <c r="DA565" s="33">
        <f t="shared" si="8"/>
        <v>0</v>
      </c>
    </row>
    <row r="566" spans="36:105" ht="19" x14ac:dyDescent="0.25">
      <c r="AJ566" s="63"/>
      <c r="AK566" s="20"/>
      <c r="AL566" s="21"/>
      <c r="AM566" s="22"/>
      <c r="AN566" s="23"/>
      <c r="AO566" s="24"/>
      <c r="AP566" s="25"/>
      <c r="AQ566" s="26"/>
      <c r="AR566" s="27"/>
      <c r="AS566" s="192"/>
      <c r="AT566" s="111"/>
      <c r="AU566" s="193"/>
      <c r="AV566" s="140"/>
      <c r="AW566" s="118"/>
      <c r="AX566" s="141"/>
      <c r="AY566" s="149"/>
      <c r="AZ566" s="121"/>
      <c r="BA566" s="150"/>
      <c r="BB566" s="158"/>
      <c r="BC566" s="124"/>
      <c r="BD566" s="159"/>
      <c r="BE566" s="167"/>
      <c r="BF566" s="85"/>
      <c r="BG566" s="168"/>
      <c r="BH566" s="175"/>
      <c r="BI566" s="127"/>
      <c r="BJ566" s="176"/>
      <c r="BK566" s="184"/>
      <c r="BL566" s="130"/>
      <c r="BM566" s="185"/>
      <c r="BN566" s="69"/>
      <c r="BO566" s="85"/>
      <c r="BP566" s="85"/>
      <c r="BQ566" s="85"/>
      <c r="BR566" s="85"/>
      <c r="BS566" s="85"/>
      <c r="BT566" s="85"/>
      <c r="BU566" s="87"/>
      <c r="BV566" s="87"/>
      <c r="BW566" s="87"/>
      <c r="BX566" s="87"/>
      <c r="BY566" s="87"/>
      <c r="BZ566" s="87"/>
      <c r="CA566" s="90"/>
      <c r="CB566" s="90"/>
      <c r="CC566" s="90"/>
      <c r="CD566" s="90"/>
      <c r="CE566" s="90"/>
      <c r="CF566" s="90"/>
      <c r="CG566" s="85"/>
      <c r="CH566" s="85"/>
      <c r="CI566" s="85"/>
      <c r="CJ566" s="85"/>
      <c r="CK566" s="85"/>
      <c r="CL566" s="87"/>
      <c r="CM566" s="87"/>
      <c r="CN566" s="87"/>
      <c r="CO566" s="87"/>
      <c r="CP566" s="90"/>
      <c r="CQ566" s="90"/>
      <c r="CR566" s="90"/>
      <c r="CS566" s="90"/>
      <c r="CT566" s="85"/>
      <c r="CU566" s="85"/>
      <c r="CV566" s="85"/>
      <c r="CW566" s="85"/>
      <c r="CX566" s="85"/>
      <c r="CY566" s="85"/>
      <c r="CZ566" s="85"/>
      <c r="DA566" s="33">
        <f t="shared" si="8"/>
        <v>0</v>
      </c>
    </row>
    <row r="567" spans="36:105" ht="19" x14ac:dyDescent="0.25">
      <c r="AJ567" s="63"/>
      <c r="AK567" s="20"/>
      <c r="AL567" s="21"/>
      <c r="AM567" s="22"/>
      <c r="AN567" s="23"/>
      <c r="AO567" s="24"/>
      <c r="AP567" s="25"/>
      <c r="AQ567" s="26"/>
      <c r="AR567" s="27"/>
      <c r="AS567" s="192"/>
      <c r="AT567" s="111"/>
      <c r="AU567" s="193"/>
      <c r="AV567" s="140"/>
      <c r="AW567" s="118"/>
      <c r="AX567" s="141"/>
      <c r="AY567" s="149"/>
      <c r="AZ567" s="121"/>
      <c r="BA567" s="150"/>
      <c r="BB567" s="158"/>
      <c r="BC567" s="124"/>
      <c r="BD567" s="159"/>
      <c r="BE567" s="167"/>
      <c r="BF567" s="85"/>
      <c r="BG567" s="168"/>
      <c r="BH567" s="175"/>
      <c r="BI567" s="127"/>
      <c r="BJ567" s="176"/>
      <c r="BK567" s="184"/>
      <c r="BL567" s="130"/>
      <c r="BM567" s="185"/>
      <c r="BN567" s="69"/>
      <c r="BO567" s="85"/>
      <c r="BP567" s="85"/>
      <c r="BQ567" s="85"/>
      <c r="BR567" s="85"/>
      <c r="BS567" s="85"/>
      <c r="BT567" s="85"/>
      <c r="BU567" s="87"/>
      <c r="BV567" s="87"/>
      <c r="BW567" s="87"/>
      <c r="BX567" s="87"/>
      <c r="BY567" s="87"/>
      <c r="BZ567" s="87"/>
      <c r="CA567" s="90"/>
      <c r="CB567" s="90"/>
      <c r="CC567" s="90"/>
      <c r="CD567" s="90"/>
      <c r="CE567" s="90"/>
      <c r="CF567" s="90"/>
      <c r="CG567" s="85"/>
      <c r="CH567" s="85"/>
      <c r="CI567" s="85"/>
      <c r="CJ567" s="85"/>
      <c r="CK567" s="85"/>
      <c r="CL567" s="87"/>
      <c r="CM567" s="87"/>
      <c r="CN567" s="87"/>
      <c r="CO567" s="87"/>
      <c r="CP567" s="90"/>
      <c r="CQ567" s="90"/>
      <c r="CR567" s="90"/>
      <c r="CS567" s="90"/>
      <c r="CT567" s="85"/>
      <c r="CU567" s="85"/>
      <c r="CV567" s="85"/>
      <c r="CW567" s="85"/>
      <c r="CX567" s="85"/>
      <c r="CY567" s="85"/>
      <c r="CZ567" s="85"/>
      <c r="DA567" s="33">
        <f t="shared" si="8"/>
        <v>0</v>
      </c>
    </row>
    <row r="568" spans="36:105" ht="19" x14ac:dyDescent="0.25">
      <c r="AJ568" s="63"/>
      <c r="AK568" s="20"/>
      <c r="AL568" s="21"/>
      <c r="AM568" s="22"/>
      <c r="AN568" s="23"/>
      <c r="AO568" s="24"/>
      <c r="AP568" s="25"/>
      <c r="AQ568" s="26"/>
      <c r="AR568" s="27"/>
      <c r="AS568" s="192"/>
      <c r="AT568" s="111"/>
      <c r="AU568" s="193"/>
      <c r="AV568" s="140"/>
      <c r="AW568" s="118"/>
      <c r="AX568" s="141"/>
      <c r="AY568" s="149"/>
      <c r="AZ568" s="121"/>
      <c r="BA568" s="150"/>
      <c r="BB568" s="158"/>
      <c r="BC568" s="124"/>
      <c r="BD568" s="159"/>
      <c r="BE568" s="167"/>
      <c r="BF568" s="85"/>
      <c r="BG568" s="168"/>
      <c r="BH568" s="175"/>
      <c r="BI568" s="127"/>
      <c r="BJ568" s="176"/>
      <c r="BK568" s="184"/>
      <c r="BL568" s="130"/>
      <c r="BM568" s="185"/>
      <c r="BN568" s="69"/>
      <c r="BO568" s="85"/>
      <c r="BP568" s="85"/>
      <c r="BQ568" s="85"/>
      <c r="BR568" s="85"/>
      <c r="BS568" s="85"/>
      <c r="BT568" s="85"/>
      <c r="BU568" s="87"/>
      <c r="BV568" s="87"/>
      <c r="BW568" s="87"/>
      <c r="BX568" s="87"/>
      <c r="BY568" s="87"/>
      <c r="BZ568" s="87"/>
      <c r="CA568" s="90"/>
      <c r="CB568" s="90"/>
      <c r="CC568" s="90"/>
      <c r="CD568" s="90"/>
      <c r="CE568" s="90"/>
      <c r="CF568" s="90"/>
      <c r="CG568" s="85"/>
      <c r="CH568" s="85"/>
      <c r="CI568" s="85"/>
      <c r="CJ568" s="85"/>
      <c r="CK568" s="85"/>
      <c r="CL568" s="87"/>
      <c r="CM568" s="87"/>
      <c r="CN568" s="87"/>
      <c r="CO568" s="87"/>
      <c r="CP568" s="90"/>
      <c r="CQ568" s="90"/>
      <c r="CR568" s="90"/>
      <c r="CS568" s="90"/>
      <c r="CT568" s="85"/>
      <c r="CU568" s="85"/>
      <c r="CV568" s="85"/>
      <c r="CW568" s="85"/>
      <c r="CX568" s="85"/>
      <c r="CY568" s="85"/>
      <c r="CZ568" s="85"/>
      <c r="DA568" s="33">
        <f t="shared" si="8"/>
        <v>0</v>
      </c>
    </row>
    <row r="569" spans="36:105" ht="19" x14ac:dyDescent="0.25">
      <c r="AJ569" s="63"/>
      <c r="AK569" s="20"/>
      <c r="AL569" s="21"/>
      <c r="AM569" s="22"/>
      <c r="AN569" s="23"/>
      <c r="AO569" s="24"/>
      <c r="AP569" s="25"/>
      <c r="AQ569" s="26"/>
      <c r="AR569" s="27"/>
      <c r="AS569" s="192"/>
      <c r="AT569" s="111"/>
      <c r="AU569" s="193"/>
      <c r="AV569" s="140"/>
      <c r="AW569" s="118"/>
      <c r="AX569" s="141"/>
      <c r="AY569" s="149"/>
      <c r="AZ569" s="121"/>
      <c r="BA569" s="150"/>
      <c r="BB569" s="158"/>
      <c r="BC569" s="124"/>
      <c r="BD569" s="159"/>
      <c r="BE569" s="167"/>
      <c r="BF569" s="85"/>
      <c r="BG569" s="168"/>
      <c r="BH569" s="175"/>
      <c r="BI569" s="127"/>
      <c r="BJ569" s="176"/>
      <c r="BK569" s="184"/>
      <c r="BL569" s="130"/>
      <c r="BM569" s="185"/>
      <c r="BN569" s="69"/>
      <c r="BO569" s="85"/>
      <c r="BP569" s="85"/>
      <c r="BQ569" s="85"/>
      <c r="BR569" s="85"/>
      <c r="BS569" s="85"/>
      <c r="BT569" s="85"/>
      <c r="BU569" s="87"/>
      <c r="BV569" s="87"/>
      <c r="BW569" s="87"/>
      <c r="BX569" s="87"/>
      <c r="BY569" s="87"/>
      <c r="BZ569" s="87"/>
      <c r="CA569" s="90"/>
      <c r="CB569" s="90"/>
      <c r="CC569" s="90"/>
      <c r="CD569" s="90"/>
      <c r="CE569" s="90"/>
      <c r="CF569" s="90"/>
      <c r="CG569" s="85"/>
      <c r="CH569" s="85"/>
      <c r="CI569" s="85"/>
      <c r="CJ569" s="85"/>
      <c r="CK569" s="85"/>
      <c r="CL569" s="87"/>
      <c r="CM569" s="87"/>
      <c r="CN569" s="87"/>
      <c r="CO569" s="87"/>
      <c r="CP569" s="90"/>
      <c r="CQ569" s="90"/>
      <c r="CR569" s="90"/>
      <c r="CS569" s="90"/>
      <c r="CT569" s="85"/>
      <c r="CU569" s="85"/>
      <c r="CV569" s="85"/>
      <c r="CW569" s="85"/>
      <c r="CX569" s="85"/>
      <c r="CY569" s="85"/>
      <c r="CZ569" s="85"/>
      <c r="DA569" s="33">
        <f t="shared" si="8"/>
        <v>0</v>
      </c>
    </row>
    <row r="570" spans="36:105" ht="19" x14ac:dyDescent="0.25">
      <c r="AJ570" s="63"/>
      <c r="AK570" s="20"/>
      <c r="AL570" s="21"/>
      <c r="AM570" s="22"/>
      <c r="AN570" s="23"/>
      <c r="AO570" s="24"/>
      <c r="AP570" s="25"/>
      <c r="AQ570" s="26"/>
      <c r="AR570" s="27"/>
      <c r="AS570" s="192"/>
      <c r="AT570" s="111"/>
      <c r="AU570" s="193"/>
      <c r="AV570" s="140"/>
      <c r="AW570" s="118"/>
      <c r="AX570" s="141"/>
      <c r="AY570" s="149"/>
      <c r="AZ570" s="121"/>
      <c r="BA570" s="150"/>
      <c r="BB570" s="158"/>
      <c r="BC570" s="124"/>
      <c r="BD570" s="159"/>
      <c r="BE570" s="167"/>
      <c r="BF570" s="85"/>
      <c r="BG570" s="168"/>
      <c r="BH570" s="175"/>
      <c r="BI570" s="127"/>
      <c r="BJ570" s="176"/>
      <c r="BK570" s="184"/>
      <c r="BL570" s="130"/>
      <c r="BM570" s="185"/>
      <c r="BN570" s="69"/>
      <c r="BO570" s="85"/>
      <c r="BP570" s="85"/>
      <c r="BQ570" s="85"/>
      <c r="BR570" s="85"/>
      <c r="BS570" s="85"/>
      <c r="BT570" s="85"/>
      <c r="BU570" s="87"/>
      <c r="BV570" s="87"/>
      <c r="BW570" s="87"/>
      <c r="BX570" s="87"/>
      <c r="BY570" s="87"/>
      <c r="BZ570" s="87"/>
      <c r="CA570" s="90"/>
      <c r="CB570" s="90"/>
      <c r="CC570" s="90"/>
      <c r="CD570" s="90"/>
      <c r="CE570" s="90"/>
      <c r="CF570" s="90"/>
      <c r="CG570" s="85"/>
      <c r="CH570" s="85"/>
      <c r="CI570" s="85"/>
      <c r="CJ570" s="85"/>
      <c r="CK570" s="85"/>
      <c r="CL570" s="87"/>
      <c r="CM570" s="87"/>
      <c r="CN570" s="87"/>
      <c r="CO570" s="87"/>
      <c r="CP570" s="90"/>
      <c r="CQ570" s="90"/>
      <c r="CR570" s="90"/>
      <c r="CS570" s="90"/>
      <c r="CT570" s="85"/>
      <c r="CU570" s="85"/>
      <c r="CV570" s="85"/>
      <c r="CW570" s="85"/>
      <c r="CX570" s="85"/>
      <c r="CY570" s="85"/>
      <c r="CZ570" s="85"/>
      <c r="DA570" s="33">
        <f t="shared" si="8"/>
        <v>0</v>
      </c>
    </row>
    <row r="571" spans="36:105" ht="19" x14ac:dyDescent="0.25">
      <c r="AJ571" s="63"/>
      <c r="AK571" s="20"/>
      <c r="AL571" s="21"/>
      <c r="AM571" s="22"/>
      <c r="AN571" s="23"/>
      <c r="AO571" s="24"/>
      <c r="AP571" s="25"/>
      <c r="AQ571" s="26"/>
      <c r="AR571" s="27"/>
      <c r="AS571" s="192"/>
      <c r="AT571" s="111"/>
      <c r="AU571" s="193"/>
      <c r="AV571" s="140"/>
      <c r="AW571" s="118"/>
      <c r="AX571" s="141"/>
      <c r="AY571" s="149"/>
      <c r="AZ571" s="121"/>
      <c r="BA571" s="150"/>
      <c r="BB571" s="158"/>
      <c r="BC571" s="124"/>
      <c r="BD571" s="159"/>
      <c r="BE571" s="167"/>
      <c r="BF571" s="85"/>
      <c r="BG571" s="168"/>
      <c r="BH571" s="175"/>
      <c r="BI571" s="127"/>
      <c r="BJ571" s="176"/>
      <c r="BK571" s="184"/>
      <c r="BL571" s="130"/>
      <c r="BM571" s="185"/>
      <c r="BN571" s="69"/>
      <c r="BO571" s="85"/>
      <c r="BP571" s="85"/>
      <c r="BQ571" s="85"/>
      <c r="BR571" s="85"/>
      <c r="BS571" s="85"/>
      <c r="BT571" s="85"/>
      <c r="BU571" s="87"/>
      <c r="BV571" s="87"/>
      <c r="BW571" s="87"/>
      <c r="BX571" s="87"/>
      <c r="BY571" s="87"/>
      <c r="BZ571" s="87"/>
      <c r="CA571" s="90"/>
      <c r="CB571" s="90"/>
      <c r="CC571" s="90"/>
      <c r="CD571" s="90"/>
      <c r="CE571" s="90"/>
      <c r="CF571" s="90"/>
      <c r="CG571" s="85"/>
      <c r="CH571" s="85"/>
      <c r="CI571" s="85"/>
      <c r="CJ571" s="85"/>
      <c r="CK571" s="85"/>
      <c r="CL571" s="87"/>
      <c r="CM571" s="87"/>
      <c r="CN571" s="87"/>
      <c r="CO571" s="87"/>
      <c r="CP571" s="90"/>
      <c r="CQ571" s="90"/>
      <c r="CR571" s="90"/>
      <c r="CS571" s="90"/>
      <c r="CT571" s="85"/>
      <c r="CU571" s="85"/>
      <c r="CV571" s="85"/>
      <c r="CW571" s="85"/>
      <c r="CX571" s="85"/>
      <c r="CY571" s="85"/>
      <c r="CZ571" s="85"/>
      <c r="DA571" s="33">
        <f t="shared" si="8"/>
        <v>0</v>
      </c>
    </row>
    <row r="572" spans="36:105" ht="19" x14ac:dyDescent="0.25">
      <c r="AJ572" s="63"/>
      <c r="AK572" s="20"/>
      <c r="AL572" s="21"/>
      <c r="AM572" s="22"/>
      <c r="AN572" s="23"/>
      <c r="AO572" s="24"/>
      <c r="AP572" s="25"/>
      <c r="AQ572" s="26"/>
      <c r="AR572" s="27"/>
      <c r="AS572" s="192"/>
      <c r="AT572" s="111"/>
      <c r="AU572" s="193"/>
      <c r="AV572" s="140"/>
      <c r="AW572" s="118"/>
      <c r="AX572" s="141"/>
      <c r="AY572" s="149"/>
      <c r="AZ572" s="121"/>
      <c r="BA572" s="150"/>
      <c r="BB572" s="158"/>
      <c r="BC572" s="124"/>
      <c r="BD572" s="159"/>
      <c r="BE572" s="167"/>
      <c r="BF572" s="85"/>
      <c r="BG572" s="168"/>
      <c r="BH572" s="175"/>
      <c r="BI572" s="127"/>
      <c r="BJ572" s="176"/>
      <c r="BK572" s="184"/>
      <c r="BL572" s="130"/>
      <c r="BM572" s="185"/>
      <c r="BN572" s="69"/>
      <c r="BO572" s="85"/>
      <c r="BP572" s="85"/>
      <c r="BQ572" s="85"/>
      <c r="BR572" s="85"/>
      <c r="BS572" s="85"/>
      <c r="BT572" s="85"/>
      <c r="BU572" s="87"/>
      <c r="BV572" s="87"/>
      <c r="BW572" s="87"/>
      <c r="BX572" s="87"/>
      <c r="BY572" s="87"/>
      <c r="BZ572" s="87"/>
      <c r="CA572" s="90"/>
      <c r="CB572" s="90"/>
      <c r="CC572" s="90"/>
      <c r="CD572" s="90"/>
      <c r="CE572" s="90"/>
      <c r="CF572" s="90"/>
      <c r="CG572" s="85"/>
      <c r="CH572" s="85"/>
      <c r="CI572" s="85"/>
      <c r="CJ572" s="85"/>
      <c r="CK572" s="85"/>
      <c r="CL572" s="87"/>
      <c r="CM572" s="87"/>
      <c r="CN572" s="87"/>
      <c r="CO572" s="87"/>
      <c r="CP572" s="90"/>
      <c r="CQ572" s="90"/>
      <c r="CR572" s="90"/>
      <c r="CS572" s="90"/>
      <c r="CT572" s="85"/>
      <c r="CU572" s="85"/>
      <c r="CV572" s="85"/>
      <c r="CW572" s="85"/>
      <c r="CX572" s="85"/>
      <c r="CY572" s="85"/>
      <c r="CZ572" s="85"/>
      <c r="DA572" s="33">
        <f t="shared" si="8"/>
        <v>0</v>
      </c>
    </row>
    <row r="573" spans="36:105" ht="19" x14ac:dyDescent="0.25">
      <c r="AJ573" s="63"/>
      <c r="AK573" s="20"/>
      <c r="AL573" s="21"/>
      <c r="AM573" s="22"/>
      <c r="AN573" s="23"/>
      <c r="AO573" s="24"/>
      <c r="AP573" s="25"/>
      <c r="AQ573" s="26"/>
      <c r="AR573" s="27"/>
      <c r="AS573" s="192"/>
      <c r="AT573" s="111"/>
      <c r="AU573" s="193"/>
      <c r="AV573" s="140"/>
      <c r="AW573" s="118"/>
      <c r="AX573" s="141"/>
      <c r="AY573" s="149"/>
      <c r="AZ573" s="121"/>
      <c r="BA573" s="150"/>
      <c r="BB573" s="158"/>
      <c r="BC573" s="124"/>
      <c r="BD573" s="159"/>
      <c r="BE573" s="167"/>
      <c r="BF573" s="85"/>
      <c r="BG573" s="168"/>
      <c r="BH573" s="175"/>
      <c r="BI573" s="127"/>
      <c r="BJ573" s="176"/>
      <c r="BK573" s="184"/>
      <c r="BL573" s="130"/>
      <c r="BM573" s="185"/>
      <c r="BN573" s="69"/>
      <c r="BO573" s="85"/>
      <c r="BP573" s="85"/>
      <c r="BQ573" s="85"/>
      <c r="BR573" s="85"/>
      <c r="BS573" s="85"/>
      <c r="BT573" s="85"/>
      <c r="BU573" s="87"/>
      <c r="BV573" s="87"/>
      <c r="BW573" s="87"/>
      <c r="BX573" s="87"/>
      <c r="BY573" s="87"/>
      <c r="BZ573" s="87"/>
      <c r="CA573" s="90"/>
      <c r="CB573" s="90"/>
      <c r="CC573" s="90"/>
      <c r="CD573" s="90"/>
      <c r="CE573" s="90"/>
      <c r="CF573" s="90"/>
      <c r="CG573" s="85"/>
      <c r="CH573" s="85"/>
      <c r="CI573" s="85"/>
      <c r="CJ573" s="85"/>
      <c r="CK573" s="85"/>
      <c r="CL573" s="87"/>
      <c r="CM573" s="87"/>
      <c r="CN573" s="87"/>
      <c r="CO573" s="87"/>
      <c r="CP573" s="90"/>
      <c r="CQ573" s="90"/>
      <c r="CR573" s="90"/>
      <c r="CS573" s="90"/>
      <c r="CT573" s="85"/>
      <c r="CU573" s="85"/>
      <c r="CV573" s="85"/>
      <c r="CW573" s="85"/>
      <c r="CX573" s="85"/>
      <c r="CY573" s="85"/>
      <c r="CZ573" s="85"/>
      <c r="DA573" s="33">
        <f t="shared" si="8"/>
        <v>0</v>
      </c>
    </row>
    <row r="574" spans="36:105" ht="19" x14ac:dyDescent="0.25">
      <c r="AJ574" s="63"/>
      <c r="AK574" s="20"/>
      <c r="AL574" s="21"/>
      <c r="AM574" s="22"/>
      <c r="AN574" s="23"/>
      <c r="AO574" s="24"/>
      <c r="AP574" s="25"/>
      <c r="AQ574" s="26"/>
      <c r="AR574" s="27"/>
      <c r="AS574" s="192"/>
      <c r="AT574" s="111"/>
      <c r="AU574" s="193"/>
      <c r="AV574" s="140"/>
      <c r="AW574" s="118"/>
      <c r="AX574" s="141"/>
      <c r="AY574" s="149"/>
      <c r="AZ574" s="121"/>
      <c r="BA574" s="150"/>
      <c r="BB574" s="158"/>
      <c r="BC574" s="124"/>
      <c r="BD574" s="159"/>
      <c r="BE574" s="167"/>
      <c r="BF574" s="85"/>
      <c r="BG574" s="168"/>
      <c r="BH574" s="175"/>
      <c r="BI574" s="127"/>
      <c r="BJ574" s="176"/>
      <c r="BK574" s="184"/>
      <c r="BL574" s="130"/>
      <c r="BM574" s="185"/>
      <c r="BN574" s="69"/>
      <c r="BO574" s="85"/>
      <c r="BP574" s="85"/>
      <c r="BQ574" s="85"/>
      <c r="BR574" s="85"/>
      <c r="BS574" s="85"/>
      <c r="BT574" s="85"/>
      <c r="BU574" s="87"/>
      <c r="BV574" s="87"/>
      <c r="BW574" s="87"/>
      <c r="BX574" s="87"/>
      <c r="BY574" s="87"/>
      <c r="BZ574" s="87"/>
      <c r="CA574" s="90"/>
      <c r="CB574" s="90"/>
      <c r="CC574" s="90"/>
      <c r="CD574" s="90"/>
      <c r="CE574" s="90"/>
      <c r="CF574" s="90"/>
      <c r="CG574" s="85"/>
      <c r="CH574" s="85"/>
      <c r="CI574" s="85"/>
      <c r="CJ574" s="85"/>
      <c r="CK574" s="85"/>
      <c r="CL574" s="87"/>
      <c r="CM574" s="87"/>
      <c r="CN574" s="87"/>
      <c r="CO574" s="87"/>
      <c r="CP574" s="90"/>
      <c r="CQ574" s="90"/>
      <c r="CR574" s="90"/>
      <c r="CS574" s="90"/>
      <c r="CT574" s="85"/>
      <c r="CU574" s="85"/>
      <c r="CV574" s="85"/>
      <c r="CW574" s="85"/>
      <c r="CX574" s="85"/>
      <c r="CY574" s="85"/>
      <c r="CZ574" s="85"/>
      <c r="DA574" s="33">
        <f t="shared" si="8"/>
        <v>0</v>
      </c>
    </row>
    <row r="575" spans="36:105" ht="19" x14ac:dyDescent="0.25">
      <c r="AJ575" s="63"/>
      <c r="AK575" s="20"/>
      <c r="AL575" s="21"/>
      <c r="AM575" s="22"/>
      <c r="AN575" s="23"/>
      <c r="AO575" s="24"/>
      <c r="AP575" s="25"/>
      <c r="AQ575" s="26"/>
      <c r="AR575" s="27"/>
      <c r="AS575" s="192"/>
      <c r="AT575" s="111"/>
      <c r="AU575" s="193"/>
      <c r="AV575" s="140"/>
      <c r="AW575" s="118"/>
      <c r="AX575" s="141"/>
      <c r="AY575" s="149"/>
      <c r="AZ575" s="121"/>
      <c r="BA575" s="150"/>
      <c r="BB575" s="158"/>
      <c r="BC575" s="124"/>
      <c r="BD575" s="159"/>
      <c r="BE575" s="167"/>
      <c r="BF575" s="85"/>
      <c r="BG575" s="168"/>
      <c r="BH575" s="175"/>
      <c r="BI575" s="127"/>
      <c r="BJ575" s="176"/>
      <c r="BK575" s="184"/>
      <c r="BL575" s="130"/>
      <c r="BM575" s="185"/>
      <c r="BN575" s="69"/>
      <c r="BO575" s="85"/>
      <c r="BP575" s="85"/>
      <c r="BQ575" s="85"/>
      <c r="BR575" s="85"/>
      <c r="BS575" s="85"/>
      <c r="BT575" s="85"/>
      <c r="BU575" s="87"/>
      <c r="BV575" s="87"/>
      <c r="BW575" s="87"/>
      <c r="BX575" s="87"/>
      <c r="BY575" s="87"/>
      <c r="BZ575" s="87"/>
      <c r="CA575" s="90"/>
      <c r="CB575" s="90"/>
      <c r="CC575" s="90"/>
      <c r="CD575" s="90"/>
      <c r="CE575" s="90"/>
      <c r="CF575" s="90"/>
      <c r="CG575" s="85"/>
      <c r="CH575" s="85"/>
      <c r="CI575" s="85"/>
      <c r="CJ575" s="85"/>
      <c r="CK575" s="85"/>
      <c r="CL575" s="87"/>
      <c r="CM575" s="87"/>
      <c r="CN575" s="87"/>
      <c r="CO575" s="87"/>
      <c r="CP575" s="90"/>
      <c r="CQ575" s="90"/>
      <c r="CR575" s="90"/>
      <c r="CS575" s="90"/>
      <c r="CT575" s="85"/>
      <c r="CU575" s="85"/>
      <c r="CV575" s="85"/>
      <c r="CW575" s="85"/>
      <c r="CX575" s="85"/>
      <c r="CY575" s="85"/>
      <c r="CZ575" s="85"/>
      <c r="DA575" s="33">
        <f t="shared" si="8"/>
        <v>0</v>
      </c>
    </row>
    <row r="576" spans="36:105" ht="19" x14ac:dyDescent="0.25">
      <c r="AJ576" s="63"/>
      <c r="AK576" s="20"/>
      <c r="AL576" s="21"/>
      <c r="AM576" s="22"/>
      <c r="AN576" s="23"/>
      <c r="AO576" s="24"/>
      <c r="AP576" s="25"/>
      <c r="AQ576" s="26"/>
      <c r="AR576" s="27"/>
      <c r="AS576" s="192"/>
      <c r="AT576" s="111"/>
      <c r="AU576" s="193"/>
      <c r="AV576" s="140"/>
      <c r="AW576" s="118"/>
      <c r="AX576" s="141"/>
      <c r="AY576" s="149"/>
      <c r="AZ576" s="121"/>
      <c r="BA576" s="150"/>
      <c r="BB576" s="158"/>
      <c r="BC576" s="124"/>
      <c r="BD576" s="159"/>
      <c r="BE576" s="167"/>
      <c r="BF576" s="85"/>
      <c r="BG576" s="168"/>
      <c r="BH576" s="175"/>
      <c r="BI576" s="127"/>
      <c r="BJ576" s="176"/>
      <c r="BK576" s="184"/>
      <c r="BL576" s="130"/>
      <c r="BM576" s="185"/>
      <c r="BN576" s="69"/>
      <c r="BO576" s="85"/>
      <c r="BP576" s="85"/>
      <c r="BQ576" s="85"/>
      <c r="BR576" s="85"/>
      <c r="BS576" s="85"/>
      <c r="BT576" s="85"/>
      <c r="BU576" s="87"/>
      <c r="BV576" s="87"/>
      <c r="BW576" s="87"/>
      <c r="BX576" s="87"/>
      <c r="BY576" s="87"/>
      <c r="BZ576" s="87"/>
      <c r="CA576" s="90"/>
      <c r="CB576" s="90"/>
      <c r="CC576" s="90"/>
      <c r="CD576" s="90"/>
      <c r="CE576" s="90"/>
      <c r="CF576" s="90"/>
      <c r="CG576" s="85"/>
      <c r="CH576" s="85"/>
      <c r="CI576" s="85"/>
      <c r="CJ576" s="85"/>
      <c r="CK576" s="85"/>
      <c r="CL576" s="87"/>
      <c r="CM576" s="87"/>
      <c r="CN576" s="87"/>
      <c r="CO576" s="87"/>
      <c r="CP576" s="90"/>
      <c r="CQ576" s="90"/>
      <c r="CR576" s="90"/>
      <c r="CS576" s="90"/>
      <c r="CT576" s="85"/>
      <c r="CU576" s="85"/>
      <c r="CV576" s="85"/>
      <c r="CW576" s="85"/>
      <c r="CX576" s="85"/>
      <c r="CY576" s="85"/>
      <c r="CZ576" s="85"/>
      <c r="DA576" s="33">
        <f t="shared" si="8"/>
        <v>0</v>
      </c>
    </row>
    <row r="577" spans="36:105" ht="19" x14ac:dyDescent="0.25">
      <c r="AJ577" s="63"/>
      <c r="AK577" s="20"/>
      <c r="AL577" s="21"/>
      <c r="AM577" s="22"/>
      <c r="AN577" s="23"/>
      <c r="AO577" s="24"/>
      <c r="AP577" s="25"/>
      <c r="AQ577" s="26"/>
      <c r="AR577" s="27"/>
      <c r="AS577" s="192"/>
      <c r="AT577" s="111"/>
      <c r="AU577" s="193"/>
      <c r="AV577" s="140"/>
      <c r="AW577" s="118"/>
      <c r="AX577" s="141"/>
      <c r="AY577" s="149"/>
      <c r="AZ577" s="121"/>
      <c r="BA577" s="150"/>
      <c r="BB577" s="158"/>
      <c r="BC577" s="124"/>
      <c r="BD577" s="159"/>
      <c r="BE577" s="167"/>
      <c r="BF577" s="85"/>
      <c r="BG577" s="168"/>
      <c r="BH577" s="175"/>
      <c r="BI577" s="127"/>
      <c r="BJ577" s="176"/>
      <c r="BK577" s="184"/>
      <c r="BL577" s="130"/>
      <c r="BM577" s="185"/>
      <c r="BN577" s="69"/>
      <c r="BO577" s="85"/>
      <c r="BP577" s="85"/>
      <c r="BQ577" s="85"/>
      <c r="BR577" s="85"/>
      <c r="BS577" s="85"/>
      <c r="BT577" s="85"/>
      <c r="BU577" s="87"/>
      <c r="BV577" s="87"/>
      <c r="BW577" s="87"/>
      <c r="BX577" s="87"/>
      <c r="BY577" s="87"/>
      <c r="BZ577" s="87"/>
      <c r="CA577" s="90"/>
      <c r="CB577" s="90"/>
      <c r="CC577" s="90"/>
      <c r="CD577" s="90"/>
      <c r="CE577" s="90"/>
      <c r="CF577" s="90"/>
      <c r="CG577" s="85"/>
      <c r="CH577" s="85"/>
      <c r="CI577" s="85"/>
      <c r="CJ577" s="85"/>
      <c r="CK577" s="85"/>
      <c r="CL577" s="87"/>
      <c r="CM577" s="87"/>
      <c r="CN577" s="87"/>
      <c r="CO577" s="87"/>
      <c r="CP577" s="90"/>
      <c r="CQ577" s="90"/>
      <c r="CR577" s="90"/>
      <c r="CS577" s="90"/>
      <c r="CT577" s="85"/>
      <c r="CU577" s="85"/>
      <c r="CV577" s="85"/>
      <c r="CW577" s="85"/>
      <c r="CX577" s="85"/>
      <c r="CY577" s="85"/>
      <c r="CZ577" s="85"/>
      <c r="DA577" s="33">
        <f t="shared" si="8"/>
        <v>0</v>
      </c>
    </row>
    <row r="578" spans="36:105" ht="19" x14ac:dyDescent="0.25">
      <c r="AJ578" s="63"/>
      <c r="AK578" s="20"/>
      <c r="AL578" s="21"/>
      <c r="AM578" s="22"/>
      <c r="AN578" s="23"/>
      <c r="AO578" s="24"/>
      <c r="AP578" s="25"/>
      <c r="AQ578" s="26"/>
      <c r="AR578" s="27"/>
      <c r="AS578" s="192"/>
      <c r="AT578" s="111"/>
      <c r="AU578" s="193"/>
      <c r="AV578" s="140"/>
      <c r="AW578" s="118"/>
      <c r="AX578" s="141"/>
      <c r="AY578" s="149"/>
      <c r="AZ578" s="121"/>
      <c r="BA578" s="150"/>
      <c r="BB578" s="158"/>
      <c r="BC578" s="124"/>
      <c r="BD578" s="159"/>
      <c r="BE578" s="167"/>
      <c r="BF578" s="85"/>
      <c r="BG578" s="168"/>
      <c r="BH578" s="175"/>
      <c r="BI578" s="127"/>
      <c r="BJ578" s="176"/>
      <c r="BK578" s="184"/>
      <c r="BL578" s="130"/>
      <c r="BM578" s="185"/>
      <c r="BN578" s="69"/>
      <c r="BO578" s="85"/>
      <c r="BP578" s="85"/>
      <c r="BQ578" s="85"/>
      <c r="BR578" s="85"/>
      <c r="BS578" s="85"/>
      <c r="BT578" s="85"/>
      <c r="BU578" s="87"/>
      <c r="BV578" s="87"/>
      <c r="BW578" s="87"/>
      <c r="BX578" s="87"/>
      <c r="BY578" s="87"/>
      <c r="BZ578" s="87"/>
      <c r="CA578" s="90"/>
      <c r="CB578" s="90"/>
      <c r="CC578" s="90"/>
      <c r="CD578" s="90"/>
      <c r="CE578" s="90"/>
      <c r="CF578" s="90"/>
      <c r="CG578" s="85"/>
      <c r="CH578" s="85"/>
      <c r="CI578" s="85"/>
      <c r="CJ578" s="85"/>
      <c r="CK578" s="85"/>
      <c r="CL578" s="87"/>
      <c r="CM578" s="87"/>
      <c r="CN578" s="87"/>
      <c r="CO578" s="87"/>
      <c r="CP578" s="90"/>
      <c r="CQ578" s="90"/>
      <c r="CR578" s="90"/>
      <c r="CS578" s="90"/>
      <c r="CT578" s="85"/>
      <c r="CU578" s="85"/>
      <c r="CV578" s="85"/>
      <c r="CW578" s="85"/>
      <c r="CX578" s="85"/>
      <c r="CY578" s="85"/>
      <c r="CZ578" s="85"/>
      <c r="DA578" s="33">
        <f t="shared" si="8"/>
        <v>0</v>
      </c>
    </row>
    <row r="579" spans="36:105" ht="19" x14ac:dyDescent="0.25">
      <c r="AJ579" s="63"/>
      <c r="AK579" s="20"/>
      <c r="AL579" s="21"/>
      <c r="AM579" s="22"/>
      <c r="AN579" s="23"/>
      <c r="AO579" s="24"/>
      <c r="AP579" s="25"/>
      <c r="AQ579" s="26"/>
      <c r="AR579" s="27"/>
      <c r="AS579" s="192"/>
      <c r="AT579" s="111"/>
      <c r="AU579" s="193"/>
      <c r="AV579" s="140"/>
      <c r="AW579" s="118"/>
      <c r="AX579" s="141"/>
      <c r="AY579" s="149"/>
      <c r="AZ579" s="121"/>
      <c r="BA579" s="150"/>
      <c r="BB579" s="158"/>
      <c r="BC579" s="124"/>
      <c r="BD579" s="159"/>
      <c r="BE579" s="167"/>
      <c r="BF579" s="85"/>
      <c r="BG579" s="168"/>
      <c r="BH579" s="175"/>
      <c r="BI579" s="127"/>
      <c r="BJ579" s="176"/>
      <c r="BK579" s="184"/>
      <c r="BL579" s="130"/>
      <c r="BM579" s="185"/>
      <c r="BN579" s="69"/>
      <c r="BO579" s="85"/>
      <c r="BP579" s="85"/>
      <c r="BQ579" s="85"/>
      <c r="BR579" s="85"/>
      <c r="BS579" s="85"/>
      <c r="BT579" s="85"/>
      <c r="BU579" s="87"/>
      <c r="BV579" s="87"/>
      <c r="BW579" s="87"/>
      <c r="BX579" s="87"/>
      <c r="BY579" s="87"/>
      <c r="BZ579" s="87"/>
      <c r="CA579" s="90"/>
      <c r="CB579" s="90"/>
      <c r="CC579" s="90"/>
      <c r="CD579" s="90"/>
      <c r="CE579" s="90"/>
      <c r="CF579" s="90"/>
      <c r="CG579" s="85"/>
      <c r="CH579" s="85"/>
      <c r="CI579" s="85"/>
      <c r="CJ579" s="85"/>
      <c r="CK579" s="85"/>
      <c r="CL579" s="87"/>
      <c r="CM579" s="87"/>
      <c r="CN579" s="87"/>
      <c r="CO579" s="87"/>
      <c r="CP579" s="90"/>
      <c r="CQ579" s="90"/>
      <c r="CR579" s="90"/>
      <c r="CS579" s="90"/>
      <c r="CT579" s="85"/>
      <c r="CU579" s="85"/>
      <c r="CV579" s="85"/>
      <c r="CW579" s="85"/>
      <c r="CX579" s="85"/>
      <c r="CY579" s="85"/>
      <c r="CZ579" s="85"/>
      <c r="DA579" s="33">
        <f t="shared" si="8"/>
        <v>0</v>
      </c>
    </row>
    <row r="580" spans="36:105" ht="19" x14ac:dyDescent="0.25">
      <c r="AJ580" s="63"/>
      <c r="AK580" s="20"/>
      <c r="AL580" s="21"/>
      <c r="AM580" s="22"/>
      <c r="AN580" s="23"/>
      <c r="AO580" s="24"/>
      <c r="AP580" s="25"/>
      <c r="AQ580" s="26"/>
      <c r="AR580" s="27"/>
      <c r="AS580" s="192"/>
      <c r="AT580" s="111"/>
      <c r="AU580" s="193"/>
      <c r="AV580" s="140"/>
      <c r="AW580" s="118"/>
      <c r="AX580" s="141"/>
      <c r="AY580" s="149"/>
      <c r="AZ580" s="121"/>
      <c r="BA580" s="150"/>
      <c r="BB580" s="158"/>
      <c r="BC580" s="124"/>
      <c r="BD580" s="159"/>
      <c r="BE580" s="167"/>
      <c r="BF580" s="85"/>
      <c r="BG580" s="168"/>
      <c r="BH580" s="175"/>
      <c r="BI580" s="127"/>
      <c r="BJ580" s="176"/>
      <c r="BK580" s="184"/>
      <c r="BL580" s="130"/>
      <c r="BM580" s="185"/>
      <c r="BN580" s="69"/>
      <c r="BO580" s="85"/>
      <c r="BP580" s="85"/>
      <c r="BQ580" s="85"/>
      <c r="BR580" s="85"/>
      <c r="BS580" s="85"/>
      <c r="BT580" s="85"/>
      <c r="BU580" s="87"/>
      <c r="BV580" s="87"/>
      <c r="BW580" s="87"/>
      <c r="BX580" s="87"/>
      <c r="BY580" s="87"/>
      <c r="BZ580" s="87"/>
      <c r="CA580" s="90"/>
      <c r="CB580" s="90"/>
      <c r="CC580" s="90"/>
      <c r="CD580" s="90"/>
      <c r="CE580" s="90"/>
      <c r="CF580" s="90"/>
      <c r="CG580" s="85"/>
      <c r="CH580" s="85"/>
      <c r="CI580" s="85"/>
      <c r="CJ580" s="85"/>
      <c r="CK580" s="85"/>
      <c r="CL580" s="87"/>
      <c r="CM580" s="87"/>
      <c r="CN580" s="87"/>
      <c r="CO580" s="87"/>
      <c r="CP580" s="90"/>
      <c r="CQ580" s="90"/>
      <c r="CR580" s="90"/>
      <c r="CS580" s="90"/>
      <c r="CT580" s="85"/>
      <c r="CU580" s="85"/>
      <c r="CV580" s="85"/>
      <c r="CW580" s="85"/>
      <c r="CX580" s="85"/>
      <c r="CY580" s="85"/>
      <c r="CZ580" s="85"/>
      <c r="DA580" s="33">
        <f t="shared" si="8"/>
        <v>0</v>
      </c>
    </row>
    <row r="581" spans="36:105" ht="19" x14ac:dyDescent="0.25">
      <c r="AJ581" s="63"/>
      <c r="AK581" s="20"/>
      <c r="AL581" s="21"/>
      <c r="AM581" s="22"/>
      <c r="AN581" s="23"/>
      <c r="AO581" s="24"/>
      <c r="AP581" s="25"/>
      <c r="AQ581" s="26"/>
      <c r="AR581" s="27"/>
      <c r="AS581" s="192"/>
      <c r="AT581" s="111"/>
      <c r="AU581" s="193"/>
      <c r="AV581" s="140"/>
      <c r="AW581" s="118"/>
      <c r="AX581" s="141"/>
      <c r="AY581" s="149"/>
      <c r="AZ581" s="121"/>
      <c r="BA581" s="150"/>
      <c r="BB581" s="158"/>
      <c r="BC581" s="124"/>
      <c r="BD581" s="159"/>
      <c r="BE581" s="167"/>
      <c r="BF581" s="85"/>
      <c r="BG581" s="168"/>
      <c r="BH581" s="175"/>
      <c r="BI581" s="127"/>
      <c r="BJ581" s="176"/>
      <c r="BK581" s="184"/>
      <c r="BL581" s="130"/>
      <c r="BM581" s="185"/>
      <c r="BN581" s="69"/>
      <c r="BO581" s="85"/>
      <c r="BP581" s="85"/>
      <c r="BQ581" s="85"/>
      <c r="BR581" s="85"/>
      <c r="BS581" s="85"/>
      <c r="BT581" s="85"/>
      <c r="BU581" s="87"/>
      <c r="BV581" s="87"/>
      <c r="BW581" s="87"/>
      <c r="BX581" s="87"/>
      <c r="BY581" s="87"/>
      <c r="BZ581" s="87"/>
      <c r="CA581" s="90"/>
      <c r="CB581" s="90"/>
      <c r="CC581" s="90"/>
      <c r="CD581" s="90"/>
      <c r="CE581" s="90"/>
      <c r="CF581" s="90"/>
      <c r="CG581" s="85"/>
      <c r="CH581" s="85"/>
      <c r="CI581" s="85"/>
      <c r="CJ581" s="85"/>
      <c r="CK581" s="85"/>
      <c r="CL581" s="87"/>
      <c r="CM581" s="87"/>
      <c r="CN581" s="87"/>
      <c r="CO581" s="87"/>
      <c r="CP581" s="90"/>
      <c r="CQ581" s="90"/>
      <c r="CR581" s="90"/>
      <c r="CS581" s="90"/>
      <c r="CT581" s="85"/>
      <c r="CU581" s="85"/>
      <c r="CV581" s="85"/>
      <c r="CW581" s="85"/>
      <c r="CX581" s="85"/>
      <c r="CY581" s="85"/>
      <c r="CZ581" s="85"/>
      <c r="DA581" s="33">
        <f t="shared" si="8"/>
        <v>0</v>
      </c>
    </row>
    <row r="582" spans="36:105" ht="19" x14ac:dyDescent="0.25">
      <c r="AJ582" s="63"/>
      <c r="AK582" s="20"/>
      <c r="AL582" s="21"/>
      <c r="AM582" s="22"/>
      <c r="AN582" s="23"/>
      <c r="AO582" s="24"/>
      <c r="AP582" s="25"/>
      <c r="AQ582" s="26"/>
      <c r="AR582" s="27"/>
      <c r="AS582" s="192"/>
      <c r="AT582" s="111"/>
      <c r="AU582" s="193"/>
      <c r="AV582" s="140"/>
      <c r="AW582" s="118"/>
      <c r="AX582" s="141"/>
      <c r="AY582" s="149"/>
      <c r="AZ582" s="121"/>
      <c r="BA582" s="150"/>
      <c r="BB582" s="158"/>
      <c r="BC582" s="124"/>
      <c r="BD582" s="159"/>
      <c r="BE582" s="167"/>
      <c r="BF582" s="85"/>
      <c r="BG582" s="168"/>
      <c r="BH582" s="175"/>
      <c r="BI582" s="127"/>
      <c r="BJ582" s="176"/>
      <c r="BK582" s="184"/>
      <c r="BL582" s="130"/>
      <c r="BM582" s="185"/>
      <c r="BN582" s="69"/>
      <c r="BO582" s="85"/>
      <c r="BP582" s="85"/>
      <c r="BQ582" s="85"/>
      <c r="BR582" s="85"/>
      <c r="BS582" s="85"/>
      <c r="BT582" s="85"/>
      <c r="BU582" s="87"/>
      <c r="BV582" s="87"/>
      <c r="BW582" s="87"/>
      <c r="BX582" s="87"/>
      <c r="BY582" s="87"/>
      <c r="BZ582" s="87"/>
      <c r="CA582" s="90"/>
      <c r="CB582" s="90"/>
      <c r="CC582" s="90"/>
      <c r="CD582" s="90"/>
      <c r="CE582" s="90"/>
      <c r="CF582" s="90"/>
      <c r="CG582" s="85"/>
      <c r="CH582" s="85"/>
      <c r="CI582" s="85"/>
      <c r="CJ582" s="85"/>
      <c r="CK582" s="85"/>
      <c r="CL582" s="87"/>
      <c r="CM582" s="87"/>
      <c r="CN582" s="87"/>
      <c r="CO582" s="87"/>
      <c r="CP582" s="90"/>
      <c r="CQ582" s="90"/>
      <c r="CR582" s="90"/>
      <c r="CS582" s="90"/>
      <c r="CT582" s="85"/>
      <c r="CU582" s="85"/>
      <c r="CV582" s="85"/>
      <c r="CW582" s="85"/>
      <c r="CX582" s="85"/>
      <c r="CY582" s="85"/>
      <c r="CZ582" s="85"/>
      <c r="DA582" s="33">
        <f t="shared" si="8"/>
        <v>0</v>
      </c>
    </row>
    <row r="583" spans="36:105" ht="19" x14ac:dyDescent="0.25">
      <c r="AJ583" s="63"/>
      <c r="AK583" s="20"/>
      <c r="AL583" s="21"/>
      <c r="AM583" s="22"/>
      <c r="AN583" s="23"/>
      <c r="AO583" s="24"/>
      <c r="AP583" s="25"/>
      <c r="AQ583" s="26"/>
      <c r="AR583" s="27"/>
      <c r="AS583" s="192"/>
      <c r="AT583" s="111"/>
      <c r="AU583" s="193"/>
      <c r="AV583" s="140"/>
      <c r="AW583" s="118"/>
      <c r="AX583" s="141"/>
      <c r="AY583" s="149"/>
      <c r="AZ583" s="121"/>
      <c r="BA583" s="150"/>
      <c r="BB583" s="158"/>
      <c r="BC583" s="124"/>
      <c r="BD583" s="159"/>
      <c r="BE583" s="167"/>
      <c r="BF583" s="85"/>
      <c r="BG583" s="168"/>
      <c r="BH583" s="175"/>
      <c r="BI583" s="127"/>
      <c r="BJ583" s="176"/>
      <c r="BK583" s="184"/>
      <c r="BL583" s="130"/>
      <c r="BM583" s="185"/>
      <c r="BN583" s="69"/>
      <c r="BO583" s="85"/>
      <c r="BP583" s="85"/>
      <c r="BQ583" s="85"/>
      <c r="BR583" s="85"/>
      <c r="BS583" s="85"/>
      <c r="BT583" s="85"/>
      <c r="BU583" s="87"/>
      <c r="BV583" s="87"/>
      <c r="BW583" s="87"/>
      <c r="BX583" s="87"/>
      <c r="BY583" s="87"/>
      <c r="BZ583" s="87"/>
      <c r="CA583" s="90"/>
      <c r="CB583" s="90"/>
      <c r="CC583" s="90"/>
      <c r="CD583" s="90"/>
      <c r="CE583" s="90"/>
      <c r="CF583" s="90"/>
      <c r="CG583" s="85"/>
      <c r="CH583" s="85"/>
      <c r="CI583" s="85"/>
      <c r="CJ583" s="85"/>
      <c r="CK583" s="85"/>
      <c r="CL583" s="87"/>
      <c r="CM583" s="87"/>
      <c r="CN583" s="87"/>
      <c r="CO583" s="87"/>
      <c r="CP583" s="90"/>
      <c r="CQ583" s="90"/>
      <c r="CR583" s="90"/>
      <c r="CS583" s="90"/>
      <c r="CT583" s="85"/>
      <c r="CU583" s="85"/>
      <c r="CV583" s="85"/>
      <c r="CW583" s="85"/>
      <c r="CX583" s="85"/>
      <c r="CY583" s="85"/>
      <c r="CZ583" s="85"/>
      <c r="DA583" s="33">
        <f t="shared" si="8"/>
        <v>0</v>
      </c>
    </row>
    <row r="584" spans="36:105" ht="19" x14ac:dyDescent="0.25">
      <c r="AJ584" s="63"/>
      <c r="AK584" s="20"/>
      <c r="AL584" s="21"/>
      <c r="AM584" s="22"/>
      <c r="AN584" s="23"/>
      <c r="AO584" s="24"/>
      <c r="AP584" s="25"/>
      <c r="AQ584" s="26"/>
      <c r="AR584" s="27"/>
      <c r="AS584" s="192"/>
      <c r="AT584" s="111"/>
      <c r="AU584" s="193"/>
      <c r="AV584" s="140"/>
      <c r="AW584" s="118"/>
      <c r="AX584" s="141"/>
      <c r="AY584" s="149"/>
      <c r="AZ584" s="121"/>
      <c r="BA584" s="150"/>
      <c r="BB584" s="158"/>
      <c r="BC584" s="124"/>
      <c r="BD584" s="159"/>
      <c r="BE584" s="167"/>
      <c r="BF584" s="85"/>
      <c r="BG584" s="168"/>
      <c r="BH584" s="175"/>
      <c r="BI584" s="127"/>
      <c r="BJ584" s="176"/>
      <c r="BK584" s="184"/>
      <c r="BL584" s="130"/>
      <c r="BM584" s="185"/>
      <c r="BN584" s="69"/>
      <c r="BO584" s="85"/>
      <c r="BP584" s="85"/>
      <c r="BQ584" s="85"/>
      <c r="BR584" s="85"/>
      <c r="BS584" s="85"/>
      <c r="BT584" s="85"/>
      <c r="BU584" s="87"/>
      <c r="BV584" s="87"/>
      <c r="BW584" s="87"/>
      <c r="BX584" s="87"/>
      <c r="BY584" s="87"/>
      <c r="BZ584" s="87"/>
      <c r="CA584" s="90"/>
      <c r="CB584" s="90"/>
      <c r="CC584" s="90"/>
      <c r="CD584" s="90"/>
      <c r="CE584" s="90"/>
      <c r="CF584" s="90"/>
      <c r="CG584" s="85"/>
      <c r="CH584" s="85"/>
      <c r="CI584" s="85"/>
      <c r="CJ584" s="85"/>
      <c r="CK584" s="85"/>
      <c r="CL584" s="87"/>
      <c r="CM584" s="87"/>
      <c r="CN584" s="87"/>
      <c r="CO584" s="87"/>
      <c r="CP584" s="90"/>
      <c r="CQ584" s="90"/>
      <c r="CR584" s="90"/>
      <c r="CS584" s="90"/>
      <c r="CT584" s="85"/>
      <c r="CU584" s="85"/>
      <c r="CV584" s="85"/>
      <c r="CW584" s="85"/>
      <c r="CX584" s="85"/>
      <c r="CY584" s="85"/>
      <c r="CZ584" s="85"/>
      <c r="DA584" s="33">
        <f t="shared" si="8"/>
        <v>0</v>
      </c>
    </row>
    <row r="585" spans="36:105" ht="19" x14ac:dyDescent="0.25">
      <c r="AJ585" s="63"/>
      <c r="AK585" s="20"/>
      <c r="AL585" s="21"/>
      <c r="AM585" s="22"/>
      <c r="AN585" s="23"/>
      <c r="AO585" s="24"/>
      <c r="AP585" s="25"/>
      <c r="AQ585" s="26"/>
      <c r="AR585" s="27"/>
      <c r="AS585" s="192"/>
      <c r="AT585" s="111"/>
      <c r="AU585" s="193"/>
      <c r="AV585" s="140"/>
      <c r="AW585" s="118"/>
      <c r="AX585" s="141"/>
      <c r="AY585" s="149"/>
      <c r="AZ585" s="121"/>
      <c r="BA585" s="150"/>
      <c r="BB585" s="158"/>
      <c r="BC585" s="124"/>
      <c r="BD585" s="159"/>
      <c r="BE585" s="167"/>
      <c r="BF585" s="85"/>
      <c r="BG585" s="168"/>
      <c r="BH585" s="175"/>
      <c r="BI585" s="127"/>
      <c r="BJ585" s="176"/>
      <c r="BK585" s="184"/>
      <c r="BL585" s="130"/>
      <c r="BM585" s="185"/>
      <c r="BN585" s="69"/>
      <c r="BO585" s="85"/>
      <c r="BP585" s="85"/>
      <c r="BQ585" s="85"/>
      <c r="BR585" s="85"/>
      <c r="BS585" s="85"/>
      <c r="BT585" s="85"/>
      <c r="BU585" s="87"/>
      <c r="BV585" s="87"/>
      <c r="BW585" s="87"/>
      <c r="BX585" s="87"/>
      <c r="BY585" s="87"/>
      <c r="BZ585" s="87"/>
      <c r="CA585" s="90"/>
      <c r="CB585" s="90"/>
      <c r="CC585" s="90"/>
      <c r="CD585" s="90"/>
      <c r="CE585" s="90"/>
      <c r="CF585" s="90"/>
      <c r="CG585" s="85"/>
      <c r="CH585" s="85"/>
      <c r="CI585" s="85"/>
      <c r="CJ585" s="85"/>
      <c r="CK585" s="85"/>
      <c r="CL585" s="87"/>
      <c r="CM585" s="87"/>
      <c r="CN585" s="87"/>
      <c r="CO585" s="87"/>
      <c r="CP585" s="90"/>
      <c r="CQ585" s="90"/>
      <c r="CR585" s="90"/>
      <c r="CS585" s="90"/>
      <c r="CT585" s="85"/>
      <c r="CU585" s="85"/>
      <c r="CV585" s="85"/>
      <c r="CW585" s="85"/>
      <c r="CX585" s="85"/>
      <c r="CY585" s="85"/>
      <c r="CZ585" s="85"/>
      <c r="DA585" s="33">
        <f t="shared" si="8"/>
        <v>0</v>
      </c>
    </row>
    <row r="586" spans="36:105" ht="19" x14ac:dyDescent="0.25">
      <c r="AJ586" s="63"/>
      <c r="AK586" s="20"/>
      <c r="AL586" s="21"/>
      <c r="AM586" s="22"/>
      <c r="AN586" s="23"/>
      <c r="AO586" s="24"/>
      <c r="AP586" s="25"/>
      <c r="AQ586" s="26"/>
      <c r="AR586" s="27"/>
      <c r="AS586" s="192"/>
      <c r="AT586" s="111"/>
      <c r="AU586" s="193"/>
      <c r="AV586" s="140"/>
      <c r="AW586" s="118"/>
      <c r="AX586" s="141"/>
      <c r="AY586" s="149"/>
      <c r="AZ586" s="121"/>
      <c r="BA586" s="150"/>
      <c r="BB586" s="158"/>
      <c r="BC586" s="124"/>
      <c r="BD586" s="159"/>
      <c r="BE586" s="167"/>
      <c r="BF586" s="85"/>
      <c r="BG586" s="168"/>
      <c r="BH586" s="175"/>
      <c r="BI586" s="127"/>
      <c r="BJ586" s="176"/>
      <c r="BK586" s="184"/>
      <c r="BL586" s="130"/>
      <c r="BM586" s="185"/>
      <c r="BN586" s="69"/>
      <c r="BO586" s="85"/>
      <c r="BP586" s="85"/>
      <c r="BQ586" s="85"/>
      <c r="BR586" s="85"/>
      <c r="BS586" s="85"/>
      <c r="BT586" s="85"/>
      <c r="BU586" s="87"/>
      <c r="BV586" s="87"/>
      <c r="BW586" s="87"/>
      <c r="BX586" s="87"/>
      <c r="BY586" s="87"/>
      <c r="BZ586" s="87"/>
      <c r="CA586" s="90"/>
      <c r="CB586" s="90"/>
      <c r="CC586" s="90"/>
      <c r="CD586" s="90"/>
      <c r="CE586" s="90"/>
      <c r="CF586" s="90"/>
      <c r="CG586" s="85"/>
      <c r="CH586" s="85"/>
      <c r="CI586" s="85"/>
      <c r="CJ586" s="85"/>
      <c r="CK586" s="85"/>
      <c r="CL586" s="87"/>
      <c r="CM586" s="87"/>
      <c r="CN586" s="87"/>
      <c r="CO586" s="87"/>
      <c r="CP586" s="90"/>
      <c r="CQ586" s="90"/>
      <c r="CR586" s="90"/>
      <c r="CS586" s="90"/>
      <c r="CT586" s="85"/>
      <c r="CU586" s="85"/>
      <c r="CV586" s="85"/>
      <c r="CW586" s="85"/>
      <c r="CX586" s="85"/>
      <c r="CY586" s="85"/>
      <c r="CZ586" s="85"/>
      <c r="DA586" s="33">
        <f t="shared" si="8"/>
        <v>0</v>
      </c>
    </row>
    <row r="587" spans="36:105" ht="19" x14ac:dyDescent="0.25">
      <c r="AJ587" s="63"/>
      <c r="AK587" s="20"/>
      <c r="AL587" s="21"/>
      <c r="AM587" s="22"/>
      <c r="AN587" s="23"/>
      <c r="AO587" s="24"/>
      <c r="AP587" s="25"/>
      <c r="AQ587" s="26"/>
      <c r="AR587" s="27"/>
      <c r="AS587" s="192"/>
      <c r="AT587" s="111"/>
      <c r="AU587" s="193"/>
      <c r="AV587" s="140"/>
      <c r="AW587" s="118"/>
      <c r="AX587" s="141"/>
      <c r="AY587" s="149"/>
      <c r="AZ587" s="121"/>
      <c r="BA587" s="150"/>
      <c r="BB587" s="158"/>
      <c r="BC587" s="124"/>
      <c r="BD587" s="159"/>
      <c r="BE587" s="167"/>
      <c r="BF587" s="85"/>
      <c r="BG587" s="168"/>
      <c r="BH587" s="175"/>
      <c r="BI587" s="127"/>
      <c r="BJ587" s="176"/>
      <c r="BK587" s="184"/>
      <c r="BL587" s="130"/>
      <c r="BM587" s="185"/>
      <c r="BN587" s="69"/>
      <c r="BO587" s="85"/>
      <c r="BP587" s="85"/>
      <c r="BQ587" s="85"/>
      <c r="BR587" s="85"/>
      <c r="BS587" s="85"/>
      <c r="BT587" s="85"/>
      <c r="BU587" s="87"/>
      <c r="BV587" s="87"/>
      <c r="BW587" s="87"/>
      <c r="BX587" s="87"/>
      <c r="BY587" s="87"/>
      <c r="BZ587" s="87"/>
      <c r="CA587" s="90"/>
      <c r="CB587" s="90"/>
      <c r="CC587" s="90"/>
      <c r="CD587" s="90"/>
      <c r="CE587" s="90"/>
      <c r="CF587" s="90"/>
      <c r="CG587" s="85"/>
      <c r="CH587" s="85"/>
      <c r="CI587" s="85"/>
      <c r="CJ587" s="85"/>
      <c r="CK587" s="85"/>
      <c r="CL587" s="87"/>
      <c r="CM587" s="87"/>
      <c r="CN587" s="87"/>
      <c r="CO587" s="87"/>
      <c r="CP587" s="90"/>
      <c r="CQ587" s="90"/>
      <c r="CR587" s="90"/>
      <c r="CS587" s="90"/>
      <c r="CT587" s="85"/>
      <c r="CU587" s="85"/>
      <c r="CV587" s="85"/>
      <c r="CW587" s="85"/>
      <c r="CX587" s="85"/>
      <c r="CY587" s="85"/>
      <c r="CZ587" s="85"/>
      <c r="DA587" s="33">
        <f t="shared" si="8"/>
        <v>0</v>
      </c>
    </row>
    <row r="588" spans="36:105" ht="19" x14ac:dyDescent="0.25">
      <c r="AJ588" s="63"/>
      <c r="AK588" s="20"/>
      <c r="AL588" s="21"/>
      <c r="AM588" s="22"/>
      <c r="AN588" s="23"/>
      <c r="AO588" s="24"/>
      <c r="AP588" s="25"/>
      <c r="AQ588" s="26"/>
      <c r="AR588" s="27"/>
      <c r="AS588" s="192"/>
      <c r="AT588" s="111"/>
      <c r="AU588" s="193"/>
      <c r="AV588" s="140"/>
      <c r="AW588" s="118"/>
      <c r="AX588" s="141"/>
      <c r="AY588" s="149"/>
      <c r="AZ588" s="121"/>
      <c r="BA588" s="150"/>
      <c r="BB588" s="158"/>
      <c r="BC588" s="124"/>
      <c r="BD588" s="159"/>
      <c r="BE588" s="167"/>
      <c r="BF588" s="85"/>
      <c r="BG588" s="168"/>
      <c r="BH588" s="175"/>
      <c r="BI588" s="127"/>
      <c r="BJ588" s="176"/>
      <c r="BK588" s="184"/>
      <c r="BL588" s="130"/>
      <c r="BM588" s="185"/>
      <c r="BN588" s="69"/>
      <c r="BO588" s="85"/>
      <c r="BP588" s="85"/>
      <c r="BQ588" s="85"/>
      <c r="BR588" s="85"/>
      <c r="BS588" s="85"/>
      <c r="BT588" s="85"/>
      <c r="BU588" s="87"/>
      <c r="BV588" s="87"/>
      <c r="BW588" s="87"/>
      <c r="BX588" s="87"/>
      <c r="BY588" s="87"/>
      <c r="BZ588" s="87"/>
      <c r="CA588" s="90"/>
      <c r="CB588" s="90"/>
      <c r="CC588" s="90"/>
      <c r="CD588" s="90"/>
      <c r="CE588" s="90"/>
      <c r="CF588" s="90"/>
      <c r="CG588" s="85"/>
      <c r="CH588" s="85"/>
      <c r="CI588" s="85"/>
      <c r="CJ588" s="85"/>
      <c r="CK588" s="85"/>
      <c r="CL588" s="87"/>
      <c r="CM588" s="87"/>
      <c r="CN588" s="87"/>
      <c r="CO588" s="87"/>
      <c r="CP588" s="90"/>
      <c r="CQ588" s="90"/>
      <c r="CR588" s="90"/>
      <c r="CS588" s="90"/>
      <c r="CT588" s="85"/>
      <c r="CU588" s="85"/>
      <c r="CV588" s="85"/>
      <c r="CW588" s="85"/>
      <c r="CX588" s="85"/>
      <c r="CY588" s="85"/>
      <c r="CZ588" s="85"/>
      <c r="DA588" s="33">
        <f t="shared" si="8"/>
        <v>0</v>
      </c>
    </row>
    <row r="589" spans="36:105" ht="19" x14ac:dyDescent="0.25">
      <c r="AJ589" s="63"/>
      <c r="AK589" s="20"/>
      <c r="AL589" s="21"/>
      <c r="AM589" s="22"/>
      <c r="AN589" s="23"/>
      <c r="AO589" s="24"/>
      <c r="AP589" s="25"/>
      <c r="AQ589" s="26"/>
      <c r="AR589" s="27"/>
      <c r="AS589" s="192"/>
      <c r="AT589" s="111"/>
      <c r="AU589" s="193"/>
      <c r="AV589" s="140"/>
      <c r="AW589" s="118"/>
      <c r="AX589" s="141"/>
      <c r="AY589" s="149"/>
      <c r="AZ589" s="121"/>
      <c r="BA589" s="150"/>
      <c r="BB589" s="158"/>
      <c r="BC589" s="124"/>
      <c r="BD589" s="159"/>
      <c r="BE589" s="167"/>
      <c r="BF589" s="85"/>
      <c r="BG589" s="168"/>
      <c r="BH589" s="175"/>
      <c r="BI589" s="127"/>
      <c r="BJ589" s="176"/>
      <c r="BK589" s="184"/>
      <c r="BL589" s="130"/>
      <c r="BM589" s="185"/>
      <c r="BN589" s="69"/>
      <c r="BO589" s="85"/>
      <c r="BP589" s="85"/>
      <c r="BQ589" s="85"/>
      <c r="BR589" s="85"/>
      <c r="BS589" s="85"/>
      <c r="BT589" s="85"/>
      <c r="BU589" s="87"/>
      <c r="BV589" s="87"/>
      <c r="BW589" s="87"/>
      <c r="BX589" s="87"/>
      <c r="BY589" s="87"/>
      <c r="BZ589" s="87"/>
      <c r="CA589" s="90"/>
      <c r="CB589" s="90"/>
      <c r="CC589" s="90"/>
      <c r="CD589" s="90"/>
      <c r="CE589" s="90"/>
      <c r="CF589" s="90"/>
      <c r="CG589" s="85"/>
      <c r="CH589" s="85"/>
      <c r="CI589" s="85"/>
      <c r="CJ589" s="85"/>
      <c r="CK589" s="85"/>
      <c r="CL589" s="87"/>
      <c r="CM589" s="87"/>
      <c r="CN589" s="87"/>
      <c r="CO589" s="87"/>
      <c r="CP589" s="90"/>
      <c r="CQ589" s="90"/>
      <c r="CR589" s="90"/>
      <c r="CS589" s="90"/>
      <c r="CT589" s="85"/>
      <c r="CU589" s="85"/>
      <c r="CV589" s="85"/>
      <c r="CW589" s="85"/>
      <c r="CX589" s="85"/>
      <c r="CY589" s="85"/>
      <c r="CZ589" s="85"/>
      <c r="DA589" s="33">
        <f t="shared" si="8"/>
        <v>0</v>
      </c>
    </row>
    <row r="590" spans="36:105" ht="19" x14ac:dyDescent="0.25">
      <c r="AJ590" s="63"/>
      <c r="AK590" s="20"/>
      <c r="AL590" s="21"/>
      <c r="AM590" s="22"/>
      <c r="AN590" s="23"/>
      <c r="AO590" s="24"/>
      <c r="AP590" s="25"/>
      <c r="AQ590" s="26"/>
      <c r="AR590" s="27"/>
      <c r="AS590" s="192"/>
      <c r="AT590" s="111"/>
      <c r="AU590" s="193"/>
      <c r="AV590" s="140"/>
      <c r="AW590" s="118"/>
      <c r="AX590" s="141"/>
      <c r="AY590" s="149"/>
      <c r="AZ590" s="121"/>
      <c r="BA590" s="150"/>
      <c r="BB590" s="158"/>
      <c r="BC590" s="124"/>
      <c r="BD590" s="159"/>
      <c r="BE590" s="167"/>
      <c r="BF590" s="85"/>
      <c r="BG590" s="168"/>
      <c r="BH590" s="175"/>
      <c r="BI590" s="127"/>
      <c r="BJ590" s="176"/>
      <c r="BK590" s="184"/>
      <c r="BL590" s="130"/>
      <c r="BM590" s="185"/>
      <c r="BN590" s="69"/>
      <c r="BO590" s="85"/>
      <c r="BP590" s="85"/>
      <c r="BQ590" s="85"/>
      <c r="BR590" s="85"/>
      <c r="BS590" s="85"/>
      <c r="BT590" s="85"/>
      <c r="BU590" s="87"/>
      <c r="BV590" s="87"/>
      <c r="BW590" s="87"/>
      <c r="BX590" s="87"/>
      <c r="BY590" s="87"/>
      <c r="BZ590" s="87"/>
      <c r="CA590" s="90"/>
      <c r="CB590" s="90"/>
      <c r="CC590" s="90"/>
      <c r="CD590" s="90"/>
      <c r="CE590" s="90"/>
      <c r="CF590" s="90"/>
      <c r="CG590" s="85"/>
      <c r="CH590" s="85"/>
      <c r="CI590" s="85"/>
      <c r="CJ590" s="85"/>
      <c r="CK590" s="85"/>
      <c r="CL590" s="87"/>
      <c r="CM590" s="87"/>
      <c r="CN590" s="87"/>
      <c r="CO590" s="87"/>
      <c r="CP590" s="90"/>
      <c r="CQ590" s="90"/>
      <c r="CR590" s="90"/>
      <c r="CS590" s="90"/>
      <c r="CT590" s="85"/>
      <c r="CU590" s="85"/>
      <c r="CV590" s="85"/>
      <c r="CW590" s="85"/>
      <c r="CX590" s="85"/>
      <c r="CY590" s="85"/>
      <c r="CZ590" s="85"/>
      <c r="DA590" s="33">
        <f t="shared" si="8"/>
        <v>0</v>
      </c>
    </row>
    <row r="591" spans="36:105" ht="19" x14ac:dyDescent="0.25">
      <c r="AJ591" s="63"/>
      <c r="AK591" s="20"/>
      <c r="AL591" s="21"/>
      <c r="AM591" s="22"/>
      <c r="AN591" s="23"/>
      <c r="AO591" s="24"/>
      <c r="AP591" s="25"/>
      <c r="AQ591" s="26"/>
      <c r="AR591" s="27"/>
      <c r="AS591" s="192"/>
      <c r="AT591" s="111"/>
      <c r="AU591" s="193"/>
      <c r="AV591" s="140"/>
      <c r="AW591" s="118"/>
      <c r="AX591" s="141"/>
      <c r="AY591" s="149"/>
      <c r="AZ591" s="121"/>
      <c r="BA591" s="150"/>
      <c r="BB591" s="158"/>
      <c r="BC591" s="124"/>
      <c r="BD591" s="159"/>
      <c r="BE591" s="167"/>
      <c r="BF591" s="85"/>
      <c r="BG591" s="168"/>
      <c r="BH591" s="175"/>
      <c r="BI591" s="127"/>
      <c r="BJ591" s="176"/>
      <c r="BK591" s="184"/>
      <c r="BL591" s="130"/>
      <c r="BM591" s="185"/>
      <c r="BN591" s="69"/>
      <c r="BO591" s="85"/>
      <c r="BP591" s="85"/>
      <c r="BQ591" s="85"/>
      <c r="BR591" s="85"/>
      <c r="BS591" s="85"/>
      <c r="BT591" s="85"/>
      <c r="BU591" s="87"/>
      <c r="BV591" s="87"/>
      <c r="BW591" s="87"/>
      <c r="BX591" s="87"/>
      <c r="BY591" s="87"/>
      <c r="BZ591" s="87"/>
      <c r="CA591" s="90"/>
      <c r="CB591" s="90"/>
      <c r="CC591" s="90"/>
      <c r="CD591" s="90"/>
      <c r="CE591" s="90"/>
      <c r="CF591" s="90"/>
      <c r="CG591" s="85"/>
      <c r="CH591" s="85"/>
      <c r="CI591" s="85"/>
      <c r="CJ591" s="85"/>
      <c r="CK591" s="85"/>
      <c r="CL591" s="87"/>
      <c r="CM591" s="87"/>
      <c r="CN591" s="87"/>
      <c r="CO591" s="87"/>
      <c r="CP591" s="90"/>
      <c r="CQ591" s="90"/>
      <c r="CR591" s="90"/>
      <c r="CS591" s="90"/>
      <c r="CT591" s="85"/>
      <c r="CU591" s="85"/>
      <c r="CV591" s="85"/>
      <c r="CW591" s="85"/>
      <c r="CX591" s="85"/>
      <c r="CY591" s="85"/>
      <c r="CZ591" s="85"/>
      <c r="DA591" s="33">
        <f t="shared" si="8"/>
        <v>0</v>
      </c>
    </row>
    <row r="592" spans="36:105" ht="19" x14ac:dyDescent="0.25">
      <c r="AJ592" s="63"/>
      <c r="AK592" s="20"/>
      <c r="AL592" s="21"/>
      <c r="AM592" s="22"/>
      <c r="AN592" s="23"/>
      <c r="AO592" s="24"/>
      <c r="AP592" s="25"/>
      <c r="AQ592" s="26"/>
      <c r="AR592" s="27"/>
      <c r="AS592" s="192"/>
      <c r="AT592" s="111"/>
      <c r="AU592" s="193"/>
      <c r="AV592" s="140"/>
      <c r="AW592" s="118"/>
      <c r="AX592" s="141"/>
      <c r="AY592" s="149"/>
      <c r="AZ592" s="121"/>
      <c r="BA592" s="150"/>
      <c r="BB592" s="158"/>
      <c r="BC592" s="124"/>
      <c r="BD592" s="159"/>
      <c r="BE592" s="167"/>
      <c r="BF592" s="85"/>
      <c r="BG592" s="168"/>
      <c r="BH592" s="175"/>
      <c r="BI592" s="127"/>
      <c r="BJ592" s="176"/>
      <c r="BK592" s="184"/>
      <c r="BL592" s="130"/>
      <c r="BM592" s="185"/>
      <c r="BN592" s="69"/>
      <c r="BO592" s="85"/>
      <c r="BP592" s="85"/>
      <c r="BQ592" s="85"/>
      <c r="BR592" s="85"/>
      <c r="BS592" s="85"/>
      <c r="BT592" s="85"/>
      <c r="BU592" s="87"/>
      <c r="BV592" s="87"/>
      <c r="BW592" s="87"/>
      <c r="BX592" s="87"/>
      <c r="BY592" s="87"/>
      <c r="BZ592" s="87"/>
      <c r="CA592" s="90"/>
      <c r="CB592" s="90"/>
      <c r="CC592" s="90"/>
      <c r="CD592" s="90"/>
      <c r="CE592" s="90"/>
      <c r="CF592" s="90"/>
      <c r="CG592" s="85"/>
      <c r="CH592" s="85"/>
      <c r="CI592" s="85"/>
      <c r="CJ592" s="85"/>
      <c r="CK592" s="85"/>
      <c r="CL592" s="87"/>
      <c r="CM592" s="87"/>
      <c r="CN592" s="87"/>
      <c r="CO592" s="87"/>
      <c r="CP592" s="90"/>
      <c r="CQ592" s="90"/>
      <c r="CR592" s="90"/>
      <c r="CS592" s="90"/>
      <c r="CT592" s="85"/>
      <c r="CU592" s="85"/>
      <c r="CV592" s="85"/>
      <c r="CW592" s="85"/>
      <c r="CX592" s="85"/>
      <c r="CY592" s="85"/>
      <c r="CZ592" s="85"/>
      <c r="DA592" s="33">
        <f t="shared" si="8"/>
        <v>0</v>
      </c>
    </row>
    <row r="593" spans="36:105" ht="19" x14ac:dyDescent="0.25">
      <c r="AJ593" s="63"/>
      <c r="AK593" s="20"/>
      <c r="AL593" s="21"/>
      <c r="AM593" s="22"/>
      <c r="AN593" s="23"/>
      <c r="AO593" s="24"/>
      <c r="AP593" s="25"/>
      <c r="AQ593" s="26"/>
      <c r="AR593" s="27"/>
      <c r="AS593" s="192"/>
      <c r="AT593" s="111"/>
      <c r="AU593" s="193"/>
      <c r="AV593" s="140"/>
      <c r="AW593" s="118"/>
      <c r="AX593" s="141"/>
      <c r="AY593" s="149"/>
      <c r="AZ593" s="121"/>
      <c r="BA593" s="150"/>
      <c r="BB593" s="158"/>
      <c r="BC593" s="124"/>
      <c r="BD593" s="159"/>
      <c r="BE593" s="167"/>
      <c r="BF593" s="85"/>
      <c r="BG593" s="168"/>
      <c r="BH593" s="175"/>
      <c r="BI593" s="127"/>
      <c r="BJ593" s="176"/>
      <c r="BK593" s="184"/>
      <c r="BL593" s="130"/>
      <c r="BM593" s="185"/>
      <c r="BN593" s="69"/>
      <c r="BO593" s="85"/>
      <c r="BP593" s="85"/>
      <c r="BQ593" s="85"/>
      <c r="BR593" s="85"/>
      <c r="BS593" s="85"/>
      <c r="BT593" s="85"/>
      <c r="BU593" s="87"/>
      <c r="BV593" s="87"/>
      <c r="BW593" s="87"/>
      <c r="BX593" s="87"/>
      <c r="BY593" s="87"/>
      <c r="BZ593" s="87"/>
      <c r="CA593" s="90"/>
      <c r="CB593" s="90"/>
      <c r="CC593" s="90"/>
      <c r="CD593" s="90"/>
      <c r="CE593" s="90"/>
      <c r="CF593" s="90"/>
      <c r="CG593" s="85"/>
      <c r="CH593" s="85"/>
      <c r="CI593" s="85"/>
      <c r="CJ593" s="85"/>
      <c r="CK593" s="85"/>
      <c r="CL593" s="87"/>
      <c r="CM593" s="87"/>
      <c r="CN593" s="87"/>
      <c r="CO593" s="87"/>
      <c r="CP593" s="90"/>
      <c r="CQ593" s="90"/>
      <c r="CR593" s="90"/>
      <c r="CS593" s="90"/>
      <c r="CT593" s="85"/>
      <c r="CU593" s="85"/>
      <c r="CV593" s="85"/>
      <c r="CW593" s="85"/>
      <c r="CX593" s="85"/>
      <c r="CY593" s="85"/>
      <c r="CZ593" s="85"/>
      <c r="DA593" s="33">
        <f t="shared" si="8"/>
        <v>0</v>
      </c>
    </row>
    <row r="594" spans="36:105" ht="19" x14ac:dyDescent="0.25">
      <c r="AJ594" s="63"/>
      <c r="AK594" s="20"/>
      <c r="AL594" s="21"/>
      <c r="AM594" s="22"/>
      <c r="AN594" s="23"/>
      <c r="AO594" s="24"/>
      <c r="AP594" s="25"/>
      <c r="AQ594" s="26"/>
      <c r="AR594" s="27"/>
      <c r="AS594" s="192"/>
      <c r="AT594" s="111"/>
      <c r="AU594" s="193"/>
      <c r="AV594" s="140"/>
      <c r="AW594" s="118"/>
      <c r="AX594" s="141"/>
      <c r="AY594" s="149"/>
      <c r="AZ594" s="121"/>
      <c r="BA594" s="150"/>
      <c r="BB594" s="158"/>
      <c r="BC594" s="124"/>
      <c r="BD594" s="159"/>
      <c r="BE594" s="167"/>
      <c r="BF594" s="85"/>
      <c r="BG594" s="168"/>
      <c r="BH594" s="175"/>
      <c r="BI594" s="127"/>
      <c r="BJ594" s="176"/>
      <c r="BK594" s="184"/>
      <c r="BL594" s="130"/>
      <c r="BM594" s="185"/>
      <c r="BN594" s="69"/>
      <c r="BO594" s="85"/>
      <c r="BP594" s="85"/>
      <c r="BQ594" s="85"/>
      <c r="BR594" s="85"/>
      <c r="BS594" s="85"/>
      <c r="BT594" s="85"/>
      <c r="BU594" s="87"/>
      <c r="BV594" s="87"/>
      <c r="BW594" s="87"/>
      <c r="BX594" s="87"/>
      <c r="BY594" s="87"/>
      <c r="BZ594" s="87"/>
      <c r="CA594" s="90"/>
      <c r="CB594" s="90"/>
      <c r="CC594" s="90"/>
      <c r="CD594" s="90"/>
      <c r="CE594" s="90"/>
      <c r="CF594" s="90"/>
      <c r="CG594" s="85"/>
      <c r="CH594" s="85"/>
      <c r="CI594" s="85"/>
      <c r="CJ594" s="85"/>
      <c r="CK594" s="85"/>
      <c r="CL594" s="87"/>
      <c r="CM594" s="87"/>
      <c r="CN594" s="87"/>
      <c r="CO594" s="87"/>
      <c r="CP594" s="90"/>
      <c r="CQ594" s="90"/>
      <c r="CR594" s="90"/>
      <c r="CS594" s="90"/>
      <c r="CT594" s="85"/>
      <c r="CU594" s="85"/>
      <c r="CV594" s="85"/>
      <c r="CW594" s="85"/>
      <c r="CX594" s="85"/>
      <c r="CY594" s="85"/>
      <c r="CZ594" s="85"/>
      <c r="DA594" s="33">
        <f t="shared" si="8"/>
        <v>0</v>
      </c>
    </row>
    <row r="595" spans="36:105" ht="19" x14ac:dyDescent="0.25">
      <c r="AJ595" s="63"/>
      <c r="AK595" s="20"/>
      <c r="AL595" s="21"/>
      <c r="AM595" s="22"/>
      <c r="AN595" s="23"/>
      <c r="AO595" s="24"/>
      <c r="AP595" s="25"/>
      <c r="AQ595" s="26"/>
      <c r="AR595" s="27"/>
      <c r="AS595" s="192"/>
      <c r="AT595" s="111"/>
      <c r="AU595" s="193"/>
      <c r="AV595" s="140"/>
      <c r="AW595" s="118"/>
      <c r="AX595" s="141"/>
      <c r="AY595" s="149"/>
      <c r="AZ595" s="121"/>
      <c r="BA595" s="150"/>
      <c r="BB595" s="158"/>
      <c r="BC595" s="124"/>
      <c r="BD595" s="159"/>
      <c r="BE595" s="167"/>
      <c r="BF595" s="85"/>
      <c r="BG595" s="168"/>
      <c r="BH595" s="175"/>
      <c r="BI595" s="127"/>
      <c r="BJ595" s="176"/>
      <c r="BK595" s="184"/>
      <c r="BL595" s="130"/>
      <c r="BM595" s="185"/>
      <c r="BN595" s="69"/>
      <c r="BO595" s="85"/>
      <c r="BP595" s="85"/>
      <c r="BQ595" s="85"/>
      <c r="BR595" s="85"/>
      <c r="BS595" s="85"/>
      <c r="BT595" s="85"/>
      <c r="BU595" s="87"/>
      <c r="BV595" s="87"/>
      <c r="BW595" s="87"/>
      <c r="BX595" s="87"/>
      <c r="BY595" s="87"/>
      <c r="BZ595" s="87"/>
      <c r="CA595" s="90"/>
      <c r="CB595" s="90"/>
      <c r="CC595" s="90"/>
      <c r="CD595" s="90"/>
      <c r="CE595" s="90"/>
      <c r="CF595" s="90"/>
      <c r="CG595" s="85"/>
      <c r="CH595" s="85"/>
      <c r="CI595" s="85"/>
      <c r="CJ595" s="85"/>
      <c r="CK595" s="85"/>
      <c r="CL595" s="87"/>
      <c r="CM595" s="87"/>
      <c r="CN595" s="87"/>
      <c r="CO595" s="87"/>
      <c r="CP595" s="90"/>
      <c r="CQ595" s="90"/>
      <c r="CR595" s="90"/>
      <c r="CS595" s="90"/>
      <c r="CT595" s="85"/>
      <c r="CU595" s="85"/>
      <c r="CV595" s="85"/>
      <c r="CW595" s="85"/>
      <c r="CX595" s="85"/>
      <c r="CY595" s="85"/>
      <c r="CZ595" s="85"/>
      <c r="DA595" s="33">
        <f t="shared" si="8"/>
        <v>0</v>
      </c>
    </row>
    <row r="596" spans="36:105" ht="19" x14ac:dyDescent="0.25">
      <c r="AJ596" s="63"/>
      <c r="AK596" s="20"/>
      <c r="AL596" s="21"/>
      <c r="AM596" s="22"/>
      <c r="AN596" s="23"/>
      <c r="AO596" s="24"/>
      <c r="AP596" s="25"/>
      <c r="AQ596" s="26"/>
      <c r="AR596" s="27"/>
      <c r="AS596" s="192"/>
      <c r="AT596" s="111"/>
      <c r="AU596" s="193"/>
      <c r="AV596" s="140"/>
      <c r="AW596" s="118"/>
      <c r="AX596" s="141"/>
      <c r="AY596" s="149"/>
      <c r="AZ596" s="121"/>
      <c r="BA596" s="150"/>
      <c r="BB596" s="158"/>
      <c r="BC596" s="124"/>
      <c r="BD596" s="159"/>
      <c r="BE596" s="167"/>
      <c r="BF596" s="85"/>
      <c r="BG596" s="168"/>
      <c r="BH596" s="175"/>
      <c r="BI596" s="127"/>
      <c r="BJ596" s="176"/>
      <c r="BK596" s="184"/>
      <c r="BL596" s="130"/>
      <c r="BM596" s="185"/>
      <c r="BN596" s="69"/>
      <c r="BO596" s="85"/>
      <c r="BP596" s="85"/>
      <c r="BQ596" s="85"/>
      <c r="BR596" s="85"/>
      <c r="BS596" s="85"/>
      <c r="BT596" s="85"/>
      <c r="BU596" s="87"/>
      <c r="BV596" s="87"/>
      <c r="BW596" s="87"/>
      <c r="BX596" s="87"/>
      <c r="BY596" s="87"/>
      <c r="BZ596" s="87"/>
      <c r="CA596" s="90"/>
      <c r="CB596" s="90"/>
      <c r="CC596" s="90"/>
      <c r="CD596" s="90"/>
      <c r="CE596" s="90"/>
      <c r="CF596" s="90"/>
      <c r="CG596" s="85"/>
      <c r="CH596" s="85"/>
      <c r="CI596" s="85"/>
      <c r="CJ596" s="85"/>
      <c r="CK596" s="85"/>
      <c r="CL596" s="87"/>
      <c r="CM596" s="87"/>
      <c r="CN596" s="87"/>
      <c r="CO596" s="87"/>
      <c r="CP596" s="90"/>
      <c r="CQ596" s="90"/>
      <c r="CR596" s="90"/>
      <c r="CS596" s="90"/>
      <c r="CT596" s="85"/>
      <c r="CU596" s="85"/>
      <c r="CV596" s="85"/>
      <c r="CW596" s="85"/>
      <c r="CX596" s="85"/>
      <c r="CY596" s="85"/>
      <c r="CZ596" s="85"/>
      <c r="DA596" s="33">
        <f t="shared" si="8"/>
        <v>0</v>
      </c>
    </row>
    <row r="597" spans="36:105" ht="19" x14ac:dyDescent="0.25">
      <c r="AJ597" s="63"/>
      <c r="AK597" s="20"/>
      <c r="AL597" s="21"/>
      <c r="AM597" s="22"/>
      <c r="AN597" s="23"/>
      <c r="AO597" s="24"/>
      <c r="AP597" s="25"/>
      <c r="AQ597" s="26"/>
      <c r="AR597" s="27"/>
      <c r="AS597" s="192"/>
      <c r="AT597" s="111"/>
      <c r="AU597" s="193"/>
      <c r="AV597" s="140"/>
      <c r="AW597" s="118"/>
      <c r="AX597" s="141"/>
      <c r="AY597" s="149"/>
      <c r="AZ597" s="121"/>
      <c r="BA597" s="150"/>
      <c r="BB597" s="158"/>
      <c r="BC597" s="124"/>
      <c r="BD597" s="159"/>
      <c r="BE597" s="167"/>
      <c r="BF597" s="85"/>
      <c r="BG597" s="168"/>
      <c r="BH597" s="175"/>
      <c r="BI597" s="127"/>
      <c r="BJ597" s="176"/>
      <c r="BK597" s="184"/>
      <c r="BL597" s="130"/>
      <c r="BM597" s="185"/>
      <c r="BN597" s="69"/>
      <c r="BO597" s="85"/>
      <c r="BP597" s="85"/>
      <c r="BQ597" s="85"/>
      <c r="BR597" s="85"/>
      <c r="BS597" s="85"/>
      <c r="BT597" s="85"/>
      <c r="BU597" s="87"/>
      <c r="BV597" s="87"/>
      <c r="BW597" s="87"/>
      <c r="BX597" s="87"/>
      <c r="BY597" s="87"/>
      <c r="BZ597" s="87"/>
      <c r="CA597" s="90"/>
      <c r="CB597" s="90"/>
      <c r="CC597" s="90"/>
      <c r="CD597" s="90"/>
      <c r="CE597" s="90"/>
      <c r="CF597" s="90"/>
      <c r="CG597" s="85"/>
      <c r="CH597" s="85"/>
      <c r="CI597" s="85"/>
      <c r="CJ597" s="85"/>
      <c r="CK597" s="85"/>
      <c r="CL597" s="87"/>
      <c r="CM597" s="87"/>
      <c r="CN597" s="87"/>
      <c r="CO597" s="87"/>
      <c r="CP597" s="90"/>
      <c r="CQ597" s="90"/>
      <c r="CR597" s="90"/>
      <c r="CS597" s="90"/>
      <c r="CT597" s="85"/>
      <c r="CU597" s="85"/>
      <c r="CV597" s="85"/>
      <c r="CW597" s="85"/>
      <c r="CX597" s="85"/>
      <c r="CY597" s="85"/>
      <c r="CZ597" s="85"/>
      <c r="DA597" s="33">
        <f t="shared" si="8"/>
        <v>0</v>
      </c>
    </row>
    <row r="598" spans="36:105" ht="19" x14ac:dyDescent="0.25">
      <c r="AJ598" s="63"/>
      <c r="AK598" s="20"/>
      <c r="AL598" s="21"/>
      <c r="AM598" s="22"/>
      <c r="AN598" s="23"/>
      <c r="AO598" s="24"/>
      <c r="AP598" s="25"/>
      <c r="AQ598" s="26"/>
      <c r="AR598" s="27"/>
      <c r="AS598" s="192"/>
      <c r="AT598" s="111"/>
      <c r="AU598" s="193"/>
      <c r="AV598" s="140"/>
      <c r="AW598" s="118"/>
      <c r="AX598" s="141"/>
      <c r="AY598" s="149"/>
      <c r="AZ598" s="121"/>
      <c r="BA598" s="150"/>
      <c r="BB598" s="158"/>
      <c r="BC598" s="124"/>
      <c r="BD598" s="159"/>
      <c r="BE598" s="167"/>
      <c r="BF598" s="85"/>
      <c r="BG598" s="168"/>
      <c r="BH598" s="175"/>
      <c r="BI598" s="127"/>
      <c r="BJ598" s="176"/>
      <c r="BK598" s="184"/>
      <c r="BL598" s="130"/>
      <c r="BM598" s="185"/>
      <c r="BN598" s="69"/>
      <c r="BO598" s="85"/>
      <c r="BP598" s="85"/>
      <c r="BQ598" s="85"/>
      <c r="BR598" s="85"/>
      <c r="BS598" s="85"/>
      <c r="BT598" s="85"/>
      <c r="BU598" s="87"/>
      <c r="BV598" s="87"/>
      <c r="BW598" s="87"/>
      <c r="BX598" s="87"/>
      <c r="BY598" s="87"/>
      <c r="BZ598" s="87"/>
      <c r="CA598" s="90"/>
      <c r="CB598" s="90"/>
      <c r="CC598" s="90"/>
      <c r="CD598" s="90"/>
      <c r="CE598" s="90"/>
      <c r="CF598" s="90"/>
      <c r="CG598" s="85"/>
      <c r="CH598" s="85"/>
      <c r="CI598" s="85"/>
      <c r="CJ598" s="85"/>
      <c r="CK598" s="85"/>
      <c r="CL598" s="87"/>
      <c r="CM598" s="87"/>
      <c r="CN598" s="87"/>
      <c r="CO598" s="87"/>
      <c r="CP598" s="90"/>
      <c r="CQ598" s="90"/>
      <c r="CR598" s="90"/>
      <c r="CS598" s="90"/>
      <c r="CT598" s="85"/>
      <c r="CU598" s="85"/>
      <c r="CV598" s="85"/>
      <c r="CW598" s="85"/>
      <c r="CX598" s="85"/>
      <c r="CY598" s="85"/>
      <c r="CZ598" s="85"/>
      <c r="DA598" s="33">
        <f t="shared" si="8"/>
        <v>0</v>
      </c>
    </row>
    <row r="599" spans="36:105" ht="19" x14ac:dyDescent="0.25">
      <c r="AJ599" s="63"/>
      <c r="AK599" s="20"/>
      <c r="AL599" s="21"/>
      <c r="AM599" s="22"/>
      <c r="AN599" s="23"/>
      <c r="AO599" s="24"/>
      <c r="AP599" s="25"/>
      <c r="AQ599" s="26"/>
      <c r="AR599" s="27"/>
      <c r="AS599" s="192"/>
      <c r="AT599" s="111"/>
      <c r="AU599" s="193"/>
      <c r="AV599" s="140"/>
      <c r="AW599" s="118"/>
      <c r="AX599" s="141"/>
      <c r="AY599" s="149"/>
      <c r="AZ599" s="121"/>
      <c r="BA599" s="150"/>
      <c r="BB599" s="158"/>
      <c r="BC599" s="124"/>
      <c r="BD599" s="159"/>
      <c r="BE599" s="167"/>
      <c r="BF599" s="85"/>
      <c r="BG599" s="168"/>
      <c r="BH599" s="175"/>
      <c r="BI599" s="127"/>
      <c r="BJ599" s="176"/>
      <c r="BK599" s="184"/>
      <c r="BL599" s="130"/>
      <c r="BM599" s="185"/>
      <c r="BN599" s="69"/>
      <c r="BO599" s="85"/>
      <c r="BP599" s="85"/>
      <c r="BQ599" s="85"/>
      <c r="BR599" s="85"/>
      <c r="BS599" s="85"/>
      <c r="BT599" s="85"/>
      <c r="BU599" s="87"/>
      <c r="BV599" s="87"/>
      <c r="BW599" s="87"/>
      <c r="BX599" s="87"/>
      <c r="BY599" s="87"/>
      <c r="BZ599" s="87"/>
      <c r="CA599" s="90"/>
      <c r="CB599" s="90"/>
      <c r="CC599" s="90"/>
      <c r="CD599" s="90"/>
      <c r="CE599" s="90"/>
      <c r="CF599" s="90"/>
      <c r="CG599" s="85"/>
      <c r="CH599" s="85"/>
      <c r="CI599" s="85"/>
      <c r="CJ599" s="85"/>
      <c r="CK599" s="85"/>
      <c r="CL599" s="87"/>
      <c r="CM599" s="87"/>
      <c r="CN599" s="87"/>
      <c r="CO599" s="87"/>
      <c r="CP599" s="90"/>
      <c r="CQ599" s="90"/>
      <c r="CR599" s="90"/>
      <c r="CS599" s="90"/>
      <c r="CT599" s="85"/>
      <c r="CU599" s="85"/>
      <c r="CV599" s="85"/>
      <c r="CW599" s="85"/>
      <c r="CX599" s="85"/>
      <c r="CY599" s="85"/>
      <c r="CZ599" s="85"/>
      <c r="DA599" s="33">
        <f t="shared" si="8"/>
        <v>0</v>
      </c>
    </row>
    <row r="600" spans="36:105" ht="19" x14ac:dyDescent="0.25">
      <c r="AJ600" s="63"/>
      <c r="AK600" s="20"/>
      <c r="AL600" s="21"/>
      <c r="AM600" s="22"/>
      <c r="AN600" s="23"/>
      <c r="AO600" s="24"/>
      <c r="AP600" s="25"/>
      <c r="AQ600" s="26"/>
      <c r="AR600" s="27"/>
      <c r="AS600" s="192"/>
      <c r="AT600" s="111"/>
      <c r="AU600" s="193"/>
      <c r="AV600" s="140"/>
      <c r="AW600" s="118"/>
      <c r="AX600" s="141"/>
      <c r="AY600" s="149"/>
      <c r="AZ600" s="121"/>
      <c r="BA600" s="150"/>
      <c r="BB600" s="158"/>
      <c r="BC600" s="124"/>
      <c r="BD600" s="159"/>
      <c r="BE600" s="167"/>
      <c r="BF600" s="85"/>
      <c r="BG600" s="168"/>
      <c r="BH600" s="175"/>
      <c r="BI600" s="127"/>
      <c r="BJ600" s="176"/>
      <c r="BK600" s="184"/>
      <c r="BL600" s="130"/>
      <c r="BM600" s="185"/>
      <c r="BN600" s="69"/>
      <c r="BO600" s="85"/>
      <c r="BP600" s="85"/>
      <c r="BQ600" s="85"/>
      <c r="BR600" s="85"/>
      <c r="BS600" s="85"/>
      <c r="BT600" s="85"/>
      <c r="BU600" s="87"/>
      <c r="BV600" s="87"/>
      <c r="BW600" s="87"/>
      <c r="BX600" s="87"/>
      <c r="BY600" s="87"/>
      <c r="BZ600" s="87"/>
      <c r="CA600" s="90"/>
      <c r="CB600" s="90"/>
      <c r="CC600" s="90"/>
      <c r="CD600" s="90"/>
      <c r="CE600" s="90"/>
      <c r="CF600" s="90"/>
      <c r="CG600" s="85"/>
      <c r="CH600" s="85"/>
      <c r="CI600" s="85"/>
      <c r="CJ600" s="85"/>
      <c r="CK600" s="85"/>
      <c r="CL600" s="87"/>
      <c r="CM600" s="87"/>
      <c r="CN600" s="87"/>
      <c r="CO600" s="87"/>
      <c r="CP600" s="90"/>
      <c r="CQ600" s="90"/>
      <c r="CR600" s="90"/>
      <c r="CS600" s="90"/>
      <c r="CT600" s="85"/>
      <c r="CU600" s="85"/>
      <c r="CV600" s="85"/>
      <c r="CW600" s="85"/>
      <c r="CX600" s="85"/>
      <c r="CY600" s="85"/>
      <c r="CZ600" s="85"/>
      <c r="DA600" s="33">
        <f t="shared" si="8"/>
        <v>0</v>
      </c>
    </row>
    <row r="601" spans="36:105" ht="19" x14ac:dyDescent="0.25">
      <c r="AJ601" s="63"/>
      <c r="AK601" s="20"/>
      <c r="AL601" s="21"/>
      <c r="AM601" s="22"/>
      <c r="AN601" s="23"/>
      <c r="AO601" s="24"/>
      <c r="AP601" s="25"/>
      <c r="AQ601" s="26"/>
      <c r="AR601" s="27"/>
      <c r="AS601" s="192"/>
      <c r="AT601" s="111"/>
      <c r="AU601" s="193"/>
      <c r="AV601" s="140"/>
      <c r="AW601" s="118"/>
      <c r="AX601" s="141"/>
      <c r="AY601" s="149"/>
      <c r="AZ601" s="121"/>
      <c r="BA601" s="150"/>
      <c r="BB601" s="158"/>
      <c r="BC601" s="124"/>
      <c r="BD601" s="159"/>
      <c r="BE601" s="167"/>
      <c r="BF601" s="85"/>
      <c r="BG601" s="168"/>
      <c r="BH601" s="175"/>
      <c r="BI601" s="127"/>
      <c r="BJ601" s="176"/>
      <c r="BK601" s="184"/>
      <c r="BL601" s="130"/>
      <c r="BM601" s="185"/>
      <c r="BN601" s="69"/>
      <c r="BO601" s="85"/>
      <c r="BP601" s="85"/>
      <c r="BQ601" s="85"/>
      <c r="BR601" s="85"/>
      <c r="BS601" s="85"/>
      <c r="BT601" s="85"/>
      <c r="BU601" s="87"/>
      <c r="BV601" s="87"/>
      <c r="BW601" s="87"/>
      <c r="BX601" s="87"/>
      <c r="BY601" s="87"/>
      <c r="BZ601" s="87"/>
      <c r="CA601" s="90"/>
      <c r="CB601" s="90"/>
      <c r="CC601" s="90"/>
      <c r="CD601" s="90"/>
      <c r="CE601" s="90"/>
      <c r="CF601" s="90"/>
      <c r="CG601" s="85"/>
      <c r="CH601" s="85"/>
      <c r="CI601" s="85"/>
      <c r="CJ601" s="85"/>
      <c r="CK601" s="85"/>
      <c r="CL601" s="87"/>
      <c r="CM601" s="87"/>
      <c r="CN601" s="87"/>
      <c r="CO601" s="87"/>
      <c r="CP601" s="90"/>
      <c r="CQ601" s="90"/>
      <c r="CR601" s="90"/>
      <c r="CS601" s="90"/>
      <c r="CT601" s="85"/>
      <c r="CU601" s="85"/>
      <c r="CV601" s="85"/>
      <c r="CW601" s="85"/>
      <c r="CX601" s="85"/>
      <c r="CY601" s="85"/>
      <c r="CZ601" s="85"/>
      <c r="DA601" s="33">
        <f t="shared" si="8"/>
        <v>0</v>
      </c>
    </row>
    <row r="602" spans="36:105" ht="19" x14ac:dyDescent="0.25">
      <c r="AJ602" s="63"/>
      <c r="AK602" s="20"/>
      <c r="AL602" s="21"/>
      <c r="AM602" s="22"/>
      <c r="AN602" s="23"/>
      <c r="AO602" s="24"/>
      <c r="AP602" s="25"/>
      <c r="AQ602" s="26"/>
      <c r="AR602" s="27"/>
      <c r="AS602" s="192"/>
      <c r="AT602" s="111"/>
      <c r="AU602" s="193"/>
      <c r="AV602" s="140"/>
      <c r="AW602" s="118"/>
      <c r="AX602" s="141"/>
      <c r="AY602" s="149"/>
      <c r="AZ602" s="121"/>
      <c r="BA602" s="150"/>
      <c r="BB602" s="158"/>
      <c r="BC602" s="124"/>
      <c r="BD602" s="159"/>
      <c r="BE602" s="167"/>
      <c r="BF602" s="85"/>
      <c r="BG602" s="168"/>
      <c r="BH602" s="175"/>
      <c r="BI602" s="127"/>
      <c r="BJ602" s="176"/>
      <c r="BK602" s="184"/>
      <c r="BL602" s="130"/>
      <c r="BM602" s="185"/>
      <c r="BN602" s="69"/>
      <c r="BO602" s="85"/>
      <c r="BP602" s="85"/>
      <c r="BQ602" s="85"/>
      <c r="BR602" s="85"/>
      <c r="BS602" s="85"/>
      <c r="BT602" s="85"/>
      <c r="BU602" s="87"/>
      <c r="BV602" s="87"/>
      <c r="BW602" s="87"/>
      <c r="BX602" s="87"/>
      <c r="BY602" s="87"/>
      <c r="BZ602" s="87"/>
      <c r="CA602" s="90"/>
      <c r="CB602" s="90"/>
      <c r="CC602" s="90"/>
      <c r="CD602" s="90"/>
      <c r="CE602" s="90"/>
      <c r="CF602" s="90"/>
      <c r="CG602" s="85"/>
      <c r="CH602" s="85"/>
      <c r="CI602" s="85"/>
      <c r="CJ602" s="85"/>
      <c r="CK602" s="85"/>
      <c r="CL602" s="87"/>
      <c r="CM602" s="87"/>
      <c r="CN602" s="87"/>
      <c r="CO602" s="87"/>
      <c r="CP602" s="90"/>
      <c r="CQ602" s="90"/>
      <c r="CR602" s="90"/>
      <c r="CS602" s="90"/>
      <c r="CT602" s="85"/>
      <c r="CU602" s="85"/>
      <c r="CV602" s="85"/>
      <c r="CW602" s="85"/>
      <c r="CX602" s="85"/>
      <c r="CY602" s="85"/>
      <c r="CZ602" s="85"/>
      <c r="DA602" s="33">
        <f t="shared" si="8"/>
        <v>0</v>
      </c>
    </row>
    <row r="603" spans="36:105" ht="19" x14ac:dyDescent="0.25">
      <c r="AJ603" s="63"/>
      <c r="AK603" s="20"/>
      <c r="AL603" s="21"/>
      <c r="AM603" s="22"/>
      <c r="AN603" s="23"/>
      <c r="AO603" s="24"/>
      <c r="AP603" s="25"/>
      <c r="AQ603" s="26"/>
      <c r="AR603" s="27"/>
      <c r="AS603" s="192"/>
      <c r="AT603" s="111"/>
      <c r="AU603" s="193"/>
      <c r="AV603" s="140"/>
      <c r="AW603" s="118"/>
      <c r="AX603" s="141"/>
      <c r="AY603" s="149"/>
      <c r="AZ603" s="121"/>
      <c r="BA603" s="150"/>
      <c r="BB603" s="158"/>
      <c r="BC603" s="124"/>
      <c r="BD603" s="159"/>
      <c r="BE603" s="167"/>
      <c r="BF603" s="85"/>
      <c r="BG603" s="168"/>
      <c r="BH603" s="175"/>
      <c r="BI603" s="127"/>
      <c r="BJ603" s="176"/>
      <c r="BK603" s="184"/>
      <c r="BL603" s="130"/>
      <c r="BM603" s="185"/>
      <c r="BN603" s="69"/>
      <c r="BO603" s="85"/>
      <c r="BP603" s="85"/>
      <c r="BQ603" s="85"/>
      <c r="BR603" s="85"/>
      <c r="BS603" s="85"/>
      <c r="BT603" s="85"/>
      <c r="BU603" s="87"/>
      <c r="BV603" s="87"/>
      <c r="BW603" s="87"/>
      <c r="BX603" s="87"/>
      <c r="BY603" s="87"/>
      <c r="BZ603" s="87"/>
      <c r="CA603" s="90"/>
      <c r="CB603" s="90"/>
      <c r="CC603" s="90"/>
      <c r="CD603" s="90"/>
      <c r="CE603" s="90"/>
      <c r="CF603" s="90"/>
      <c r="CG603" s="85"/>
      <c r="CH603" s="85"/>
      <c r="CI603" s="85"/>
      <c r="CJ603" s="85"/>
      <c r="CK603" s="85"/>
      <c r="CL603" s="87"/>
      <c r="CM603" s="87"/>
      <c r="CN603" s="87"/>
      <c r="CO603" s="87"/>
      <c r="CP603" s="90"/>
      <c r="CQ603" s="90"/>
      <c r="CR603" s="90"/>
      <c r="CS603" s="90"/>
      <c r="CT603" s="85"/>
      <c r="CU603" s="85"/>
      <c r="CV603" s="85"/>
      <c r="CW603" s="85"/>
      <c r="CX603" s="85"/>
      <c r="CY603" s="85"/>
      <c r="CZ603" s="85"/>
      <c r="DA603" s="33">
        <f t="shared" si="8"/>
        <v>0</v>
      </c>
    </row>
    <row r="604" spans="36:105" ht="19" x14ac:dyDescent="0.25">
      <c r="AJ604" s="63"/>
      <c r="AK604" s="20"/>
      <c r="AL604" s="21"/>
      <c r="AM604" s="22"/>
      <c r="AN604" s="23"/>
      <c r="AO604" s="24"/>
      <c r="AP604" s="25"/>
      <c r="AQ604" s="26"/>
      <c r="AR604" s="27"/>
      <c r="AS604" s="192"/>
      <c r="AT604" s="111"/>
      <c r="AU604" s="193"/>
      <c r="AV604" s="140"/>
      <c r="AW604" s="118"/>
      <c r="AX604" s="141"/>
      <c r="AY604" s="149"/>
      <c r="AZ604" s="121"/>
      <c r="BA604" s="150"/>
      <c r="BB604" s="158"/>
      <c r="BC604" s="124"/>
      <c r="BD604" s="159"/>
      <c r="BE604" s="167"/>
      <c r="BF604" s="85"/>
      <c r="BG604" s="168"/>
      <c r="BH604" s="175"/>
      <c r="BI604" s="127"/>
      <c r="BJ604" s="176"/>
      <c r="BK604" s="184"/>
      <c r="BL604" s="130"/>
      <c r="BM604" s="185"/>
      <c r="BN604" s="69"/>
      <c r="BO604" s="85"/>
      <c r="BP604" s="85"/>
      <c r="BQ604" s="85"/>
      <c r="BR604" s="85"/>
      <c r="BS604" s="85"/>
      <c r="BT604" s="85"/>
      <c r="BU604" s="87"/>
      <c r="BV604" s="87"/>
      <c r="BW604" s="87"/>
      <c r="BX604" s="87"/>
      <c r="BY604" s="87"/>
      <c r="BZ604" s="87"/>
      <c r="CA604" s="90"/>
      <c r="CB604" s="90"/>
      <c r="CC604" s="90"/>
      <c r="CD604" s="90"/>
      <c r="CE604" s="90"/>
      <c r="CF604" s="90"/>
      <c r="CG604" s="85"/>
      <c r="CH604" s="85"/>
      <c r="CI604" s="85"/>
      <c r="CJ604" s="85"/>
      <c r="CK604" s="85"/>
      <c r="CL604" s="87"/>
      <c r="CM604" s="87"/>
      <c r="CN604" s="87"/>
      <c r="CO604" s="87"/>
      <c r="CP604" s="90"/>
      <c r="CQ604" s="90"/>
      <c r="CR604" s="90"/>
      <c r="CS604" s="90"/>
      <c r="CT604" s="85"/>
      <c r="CU604" s="85"/>
      <c r="CV604" s="85"/>
      <c r="CW604" s="85"/>
      <c r="CX604" s="85"/>
      <c r="CY604" s="85"/>
      <c r="CZ604" s="85"/>
      <c r="DA604" s="33">
        <f t="shared" si="8"/>
        <v>0</v>
      </c>
    </row>
    <row r="605" spans="36:105" ht="19" x14ac:dyDescent="0.25">
      <c r="AJ605" s="63"/>
      <c r="AK605" s="20"/>
      <c r="AL605" s="21"/>
      <c r="AM605" s="22"/>
      <c r="AN605" s="23"/>
      <c r="AO605" s="24"/>
      <c r="AP605" s="25"/>
      <c r="AQ605" s="26"/>
      <c r="AR605" s="27"/>
      <c r="AS605" s="192"/>
      <c r="AT605" s="111"/>
      <c r="AU605" s="193"/>
      <c r="AV605" s="140"/>
      <c r="AW605" s="118"/>
      <c r="AX605" s="141"/>
      <c r="AY605" s="149"/>
      <c r="AZ605" s="121"/>
      <c r="BA605" s="150"/>
      <c r="BB605" s="158"/>
      <c r="BC605" s="124"/>
      <c r="BD605" s="159"/>
      <c r="BE605" s="167"/>
      <c r="BF605" s="85"/>
      <c r="BG605" s="168"/>
      <c r="BH605" s="175"/>
      <c r="BI605" s="127"/>
      <c r="BJ605" s="176"/>
      <c r="BK605" s="184"/>
      <c r="BL605" s="130"/>
      <c r="BM605" s="185"/>
      <c r="BN605" s="69"/>
      <c r="BO605" s="85"/>
      <c r="BP605" s="85"/>
      <c r="BQ605" s="85"/>
      <c r="BR605" s="85"/>
      <c r="BS605" s="85"/>
      <c r="BT605" s="85"/>
      <c r="BU605" s="87"/>
      <c r="BV605" s="87"/>
      <c r="BW605" s="87"/>
      <c r="BX605" s="87"/>
      <c r="BY605" s="87"/>
      <c r="BZ605" s="87"/>
      <c r="CA605" s="90"/>
      <c r="CB605" s="90"/>
      <c r="CC605" s="90"/>
      <c r="CD605" s="90"/>
      <c r="CE605" s="90"/>
      <c r="CF605" s="90"/>
      <c r="CG605" s="85"/>
      <c r="CH605" s="85"/>
      <c r="CI605" s="85"/>
      <c r="CJ605" s="85"/>
      <c r="CK605" s="85"/>
      <c r="CL605" s="87"/>
      <c r="CM605" s="87"/>
      <c r="CN605" s="87"/>
      <c r="CO605" s="87"/>
      <c r="CP605" s="90"/>
      <c r="CQ605" s="90"/>
      <c r="CR605" s="90"/>
      <c r="CS605" s="90"/>
      <c r="CT605" s="85"/>
      <c r="CU605" s="85"/>
      <c r="CV605" s="85"/>
      <c r="CW605" s="85"/>
      <c r="CX605" s="85"/>
      <c r="CY605" s="85"/>
      <c r="CZ605" s="85"/>
      <c r="DA605" s="33">
        <f t="shared" si="8"/>
        <v>0</v>
      </c>
    </row>
    <row r="606" spans="36:105" ht="19" x14ac:dyDescent="0.25">
      <c r="AJ606" s="63"/>
      <c r="AK606" s="20"/>
      <c r="AL606" s="21"/>
      <c r="AM606" s="22"/>
      <c r="AN606" s="23"/>
      <c r="AO606" s="24"/>
      <c r="AP606" s="25"/>
      <c r="AQ606" s="26"/>
      <c r="AR606" s="27"/>
      <c r="AS606" s="192"/>
      <c r="AT606" s="111"/>
      <c r="AU606" s="193"/>
      <c r="AV606" s="140"/>
      <c r="AW606" s="118"/>
      <c r="AX606" s="141"/>
      <c r="AY606" s="149"/>
      <c r="AZ606" s="121"/>
      <c r="BA606" s="150"/>
      <c r="BB606" s="158"/>
      <c r="BC606" s="124"/>
      <c r="BD606" s="159"/>
      <c r="BE606" s="167"/>
      <c r="BF606" s="85"/>
      <c r="BG606" s="168"/>
      <c r="BH606" s="175"/>
      <c r="BI606" s="127"/>
      <c r="BJ606" s="176"/>
      <c r="BK606" s="184"/>
      <c r="BL606" s="130"/>
      <c r="BM606" s="185"/>
      <c r="BN606" s="69"/>
      <c r="BO606" s="85"/>
      <c r="BP606" s="85"/>
      <c r="BQ606" s="85"/>
      <c r="BR606" s="85"/>
      <c r="BS606" s="85"/>
      <c r="BT606" s="85"/>
      <c r="BU606" s="87"/>
      <c r="BV606" s="87"/>
      <c r="BW606" s="87"/>
      <c r="BX606" s="87"/>
      <c r="BY606" s="87"/>
      <c r="BZ606" s="87"/>
      <c r="CA606" s="90"/>
      <c r="CB606" s="90"/>
      <c r="CC606" s="90"/>
      <c r="CD606" s="90"/>
      <c r="CE606" s="90"/>
      <c r="CF606" s="90"/>
      <c r="CG606" s="85"/>
      <c r="CH606" s="85"/>
      <c r="CI606" s="85"/>
      <c r="CJ606" s="85"/>
      <c r="CK606" s="85"/>
      <c r="CL606" s="87"/>
      <c r="CM606" s="87"/>
      <c r="CN606" s="87"/>
      <c r="CO606" s="87"/>
      <c r="CP606" s="90"/>
      <c r="CQ606" s="90"/>
      <c r="CR606" s="90"/>
      <c r="CS606" s="90"/>
      <c r="CT606" s="85"/>
      <c r="CU606" s="85"/>
      <c r="CV606" s="85"/>
      <c r="CW606" s="85"/>
      <c r="CX606" s="85"/>
      <c r="CY606" s="85"/>
      <c r="CZ606" s="85"/>
      <c r="DA606" s="33">
        <f t="shared" si="8"/>
        <v>0</v>
      </c>
    </row>
    <row r="607" spans="36:105" ht="19" x14ac:dyDescent="0.25">
      <c r="AJ607" s="63"/>
      <c r="AK607" s="20"/>
      <c r="AL607" s="21"/>
      <c r="AM607" s="22"/>
      <c r="AN607" s="23"/>
      <c r="AO607" s="24"/>
      <c r="AP607" s="25"/>
      <c r="AQ607" s="26"/>
      <c r="AR607" s="27"/>
      <c r="AS607" s="192"/>
      <c r="AT607" s="111"/>
      <c r="AU607" s="193"/>
      <c r="AV607" s="140"/>
      <c r="AW607" s="118"/>
      <c r="AX607" s="141"/>
      <c r="AY607" s="149"/>
      <c r="AZ607" s="121"/>
      <c r="BA607" s="150"/>
      <c r="BB607" s="158"/>
      <c r="BC607" s="124"/>
      <c r="BD607" s="159"/>
      <c r="BE607" s="167"/>
      <c r="BF607" s="85"/>
      <c r="BG607" s="168"/>
      <c r="BH607" s="175"/>
      <c r="BI607" s="127"/>
      <c r="BJ607" s="176"/>
      <c r="BK607" s="184"/>
      <c r="BL607" s="130"/>
      <c r="BM607" s="185"/>
      <c r="BN607" s="69"/>
      <c r="BO607" s="85"/>
      <c r="BP607" s="85"/>
      <c r="BQ607" s="85"/>
      <c r="BR607" s="85"/>
      <c r="BS607" s="85"/>
      <c r="BT607" s="85"/>
      <c r="BU607" s="87"/>
      <c r="BV607" s="87"/>
      <c r="BW607" s="87"/>
      <c r="BX607" s="87"/>
      <c r="BY607" s="87"/>
      <c r="BZ607" s="87"/>
      <c r="CA607" s="90"/>
      <c r="CB607" s="90"/>
      <c r="CC607" s="90"/>
      <c r="CD607" s="90"/>
      <c r="CE607" s="90"/>
      <c r="CF607" s="90"/>
      <c r="CG607" s="85"/>
      <c r="CH607" s="85"/>
      <c r="CI607" s="85"/>
      <c r="CJ607" s="85"/>
      <c r="CK607" s="85"/>
      <c r="CL607" s="87"/>
      <c r="CM607" s="87"/>
      <c r="CN607" s="87"/>
      <c r="CO607" s="87"/>
      <c r="CP607" s="90"/>
      <c r="CQ607" s="90"/>
      <c r="CR607" s="90"/>
      <c r="CS607" s="90"/>
      <c r="CT607" s="85"/>
      <c r="CU607" s="85"/>
      <c r="CV607" s="85"/>
      <c r="CW607" s="85"/>
      <c r="CX607" s="85"/>
      <c r="CY607" s="85"/>
      <c r="CZ607" s="85"/>
      <c r="DA607" s="33">
        <f t="shared" si="8"/>
        <v>0</v>
      </c>
    </row>
    <row r="608" spans="36:105" ht="19" x14ac:dyDescent="0.25">
      <c r="AJ608" s="63"/>
      <c r="AK608" s="20"/>
      <c r="AL608" s="21"/>
      <c r="AM608" s="22"/>
      <c r="AN608" s="23"/>
      <c r="AO608" s="24"/>
      <c r="AP608" s="25"/>
      <c r="AQ608" s="26"/>
      <c r="AR608" s="27"/>
      <c r="AS608" s="192"/>
      <c r="AT608" s="111"/>
      <c r="AU608" s="193"/>
      <c r="AV608" s="140"/>
      <c r="AW608" s="118"/>
      <c r="AX608" s="141"/>
      <c r="AY608" s="149"/>
      <c r="AZ608" s="121"/>
      <c r="BA608" s="150"/>
      <c r="BB608" s="158"/>
      <c r="BC608" s="124"/>
      <c r="BD608" s="159"/>
      <c r="BE608" s="167"/>
      <c r="BF608" s="85"/>
      <c r="BG608" s="168"/>
      <c r="BH608" s="175"/>
      <c r="BI608" s="127"/>
      <c r="BJ608" s="176"/>
      <c r="BK608" s="184"/>
      <c r="BL608" s="130"/>
      <c r="BM608" s="185"/>
      <c r="BN608" s="69"/>
      <c r="BO608" s="85"/>
      <c r="BP608" s="85"/>
      <c r="BQ608" s="85"/>
      <c r="BR608" s="85"/>
      <c r="BS608" s="85"/>
      <c r="BT608" s="85"/>
      <c r="BU608" s="87"/>
      <c r="BV608" s="87"/>
      <c r="BW608" s="87"/>
      <c r="BX608" s="87"/>
      <c r="BY608" s="87"/>
      <c r="BZ608" s="87"/>
      <c r="CA608" s="90"/>
      <c r="CB608" s="90"/>
      <c r="CC608" s="90"/>
      <c r="CD608" s="90"/>
      <c r="CE608" s="90"/>
      <c r="CF608" s="90"/>
      <c r="CG608" s="85"/>
      <c r="CH608" s="85"/>
      <c r="CI608" s="85"/>
      <c r="CJ608" s="85"/>
      <c r="CK608" s="85"/>
      <c r="CL608" s="87"/>
      <c r="CM608" s="87"/>
      <c r="CN608" s="87"/>
      <c r="CO608" s="87"/>
      <c r="CP608" s="90"/>
      <c r="CQ608" s="90"/>
      <c r="CR608" s="90"/>
      <c r="CS608" s="90"/>
      <c r="CT608" s="85"/>
      <c r="CU608" s="85"/>
      <c r="CV608" s="85"/>
      <c r="CW608" s="85"/>
      <c r="CX608" s="85"/>
      <c r="CY608" s="85"/>
      <c r="CZ608" s="85"/>
      <c r="DA608" s="33">
        <f t="shared" si="8"/>
        <v>0</v>
      </c>
    </row>
    <row r="609" spans="36:105" ht="19" x14ac:dyDescent="0.25">
      <c r="AJ609" s="63"/>
      <c r="AK609" s="20"/>
      <c r="AL609" s="21"/>
      <c r="AM609" s="22"/>
      <c r="AN609" s="23"/>
      <c r="AO609" s="24"/>
      <c r="AP609" s="25"/>
      <c r="AQ609" s="26"/>
      <c r="AR609" s="27"/>
      <c r="AS609" s="192"/>
      <c r="AT609" s="111"/>
      <c r="AU609" s="193"/>
      <c r="AV609" s="140"/>
      <c r="AW609" s="118"/>
      <c r="AX609" s="141"/>
      <c r="AY609" s="149"/>
      <c r="AZ609" s="121"/>
      <c r="BA609" s="150"/>
      <c r="BB609" s="158"/>
      <c r="BC609" s="124"/>
      <c r="BD609" s="159"/>
      <c r="BE609" s="167"/>
      <c r="BF609" s="85"/>
      <c r="BG609" s="168"/>
      <c r="BH609" s="175"/>
      <c r="BI609" s="127"/>
      <c r="BJ609" s="176"/>
      <c r="BK609" s="184"/>
      <c r="BL609" s="130"/>
      <c r="BM609" s="185"/>
      <c r="BN609" s="69"/>
      <c r="BO609" s="85"/>
      <c r="BP609" s="85"/>
      <c r="BQ609" s="85"/>
      <c r="BR609" s="85"/>
      <c r="BS609" s="85"/>
      <c r="BT609" s="85"/>
      <c r="BU609" s="87"/>
      <c r="BV609" s="87"/>
      <c r="BW609" s="87"/>
      <c r="BX609" s="87"/>
      <c r="BY609" s="87"/>
      <c r="BZ609" s="87"/>
      <c r="CA609" s="90"/>
      <c r="CB609" s="90"/>
      <c r="CC609" s="90"/>
      <c r="CD609" s="90"/>
      <c r="CE609" s="90"/>
      <c r="CF609" s="90"/>
      <c r="CG609" s="85"/>
      <c r="CH609" s="85"/>
      <c r="CI609" s="85"/>
      <c r="CJ609" s="85"/>
      <c r="CK609" s="85"/>
      <c r="CL609" s="87"/>
      <c r="CM609" s="87"/>
      <c r="CN609" s="87"/>
      <c r="CO609" s="87"/>
      <c r="CP609" s="90"/>
      <c r="CQ609" s="90"/>
      <c r="CR609" s="90"/>
      <c r="CS609" s="90"/>
      <c r="CT609" s="85"/>
      <c r="CU609" s="85"/>
      <c r="CV609" s="85"/>
      <c r="CW609" s="85"/>
      <c r="CX609" s="85"/>
      <c r="CY609" s="85"/>
      <c r="CZ609" s="85"/>
      <c r="DA609" s="33">
        <f t="shared" si="8"/>
        <v>0</v>
      </c>
    </row>
    <row r="610" spans="36:105" ht="19" x14ac:dyDescent="0.25">
      <c r="AJ610" s="63"/>
      <c r="AK610" s="20"/>
      <c r="AL610" s="21"/>
      <c r="AM610" s="22"/>
      <c r="AN610" s="23"/>
      <c r="AO610" s="24"/>
      <c r="AP610" s="25"/>
      <c r="AQ610" s="26"/>
      <c r="AR610" s="27"/>
      <c r="AS610" s="192"/>
      <c r="AT610" s="111"/>
      <c r="AU610" s="193"/>
      <c r="AV610" s="140"/>
      <c r="AW610" s="118"/>
      <c r="AX610" s="141"/>
      <c r="AY610" s="149"/>
      <c r="AZ610" s="121"/>
      <c r="BA610" s="150"/>
      <c r="BB610" s="158"/>
      <c r="BC610" s="124"/>
      <c r="BD610" s="159"/>
      <c r="BE610" s="167"/>
      <c r="BF610" s="85"/>
      <c r="BG610" s="168"/>
      <c r="BH610" s="175"/>
      <c r="BI610" s="127"/>
      <c r="BJ610" s="176"/>
      <c r="BK610" s="184"/>
      <c r="BL610" s="130"/>
      <c r="BM610" s="185"/>
      <c r="BN610" s="69"/>
      <c r="BO610" s="85"/>
      <c r="BP610" s="85"/>
      <c r="BQ610" s="85"/>
      <c r="BR610" s="85"/>
      <c r="BS610" s="85"/>
      <c r="BT610" s="85"/>
      <c r="BU610" s="87"/>
      <c r="BV610" s="87"/>
      <c r="BW610" s="87"/>
      <c r="BX610" s="87"/>
      <c r="BY610" s="87"/>
      <c r="BZ610" s="87"/>
      <c r="CA610" s="90"/>
      <c r="CB610" s="90"/>
      <c r="CC610" s="90"/>
      <c r="CD610" s="90"/>
      <c r="CE610" s="90"/>
      <c r="CF610" s="90"/>
      <c r="CG610" s="85"/>
      <c r="CH610" s="85"/>
      <c r="CI610" s="85"/>
      <c r="CJ610" s="85"/>
      <c r="CK610" s="85"/>
      <c r="CL610" s="87"/>
      <c r="CM610" s="87"/>
      <c r="CN610" s="87"/>
      <c r="CO610" s="87"/>
      <c r="CP610" s="90"/>
      <c r="CQ610" s="90"/>
      <c r="CR610" s="90"/>
      <c r="CS610" s="90"/>
      <c r="CT610" s="85"/>
      <c r="CU610" s="85"/>
      <c r="CV610" s="85"/>
      <c r="CW610" s="85"/>
      <c r="CX610" s="85"/>
      <c r="CY610" s="85"/>
      <c r="CZ610" s="85"/>
      <c r="DA610" s="33">
        <f t="shared" si="8"/>
        <v>0</v>
      </c>
    </row>
    <row r="611" spans="36:105" ht="19" x14ac:dyDescent="0.25">
      <c r="AJ611" s="63"/>
      <c r="AK611" s="20"/>
      <c r="AL611" s="21"/>
      <c r="AM611" s="22"/>
      <c r="AN611" s="23"/>
      <c r="AO611" s="24"/>
      <c r="AP611" s="25"/>
      <c r="AQ611" s="26"/>
      <c r="AR611" s="27"/>
      <c r="AS611" s="192"/>
      <c r="AT611" s="111"/>
      <c r="AU611" s="193"/>
      <c r="AV611" s="140"/>
      <c r="AW611" s="118"/>
      <c r="AX611" s="141"/>
      <c r="AY611" s="149"/>
      <c r="AZ611" s="121"/>
      <c r="BA611" s="150"/>
      <c r="BB611" s="158"/>
      <c r="BC611" s="124"/>
      <c r="BD611" s="159"/>
      <c r="BE611" s="167"/>
      <c r="BF611" s="85"/>
      <c r="BG611" s="168"/>
      <c r="BH611" s="175"/>
      <c r="BI611" s="127"/>
      <c r="BJ611" s="176"/>
      <c r="BK611" s="184"/>
      <c r="BL611" s="130"/>
      <c r="BM611" s="185"/>
      <c r="BN611" s="69"/>
      <c r="BO611" s="85"/>
      <c r="BP611" s="85"/>
      <c r="BQ611" s="85"/>
      <c r="BR611" s="85"/>
      <c r="BS611" s="85"/>
      <c r="BT611" s="85"/>
      <c r="BU611" s="87"/>
      <c r="BV611" s="87"/>
      <c r="BW611" s="87"/>
      <c r="BX611" s="87"/>
      <c r="BY611" s="87"/>
      <c r="BZ611" s="87"/>
      <c r="CA611" s="90"/>
      <c r="CB611" s="90"/>
      <c r="CC611" s="90"/>
      <c r="CD611" s="90"/>
      <c r="CE611" s="90"/>
      <c r="CF611" s="90"/>
      <c r="CG611" s="85"/>
      <c r="CH611" s="85"/>
      <c r="CI611" s="85"/>
      <c r="CJ611" s="85"/>
      <c r="CK611" s="85"/>
      <c r="CL611" s="87"/>
      <c r="CM611" s="87"/>
      <c r="CN611" s="87"/>
      <c r="CO611" s="87"/>
      <c r="CP611" s="90"/>
      <c r="CQ611" s="90"/>
      <c r="CR611" s="90"/>
      <c r="CS611" s="90"/>
      <c r="CT611" s="85"/>
      <c r="CU611" s="85"/>
      <c r="CV611" s="85"/>
      <c r="CW611" s="85"/>
      <c r="CX611" s="85"/>
      <c r="CY611" s="85"/>
      <c r="CZ611" s="85"/>
      <c r="DA611" s="33">
        <f t="shared" si="8"/>
        <v>0</v>
      </c>
    </row>
    <row r="612" spans="36:105" ht="19" x14ac:dyDescent="0.25">
      <c r="AJ612" s="63"/>
      <c r="AK612" s="20"/>
      <c r="AL612" s="21"/>
      <c r="AM612" s="22"/>
      <c r="AN612" s="23"/>
      <c r="AO612" s="24"/>
      <c r="AP612" s="25"/>
      <c r="AQ612" s="26"/>
      <c r="AR612" s="27"/>
      <c r="AS612" s="192"/>
      <c r="AT612" s="111"/>
      <c r="AU612" s="193"/>
      <c r="AV612" s="140"/>
      <c r="AW612" s="118"/>
      <c r="AX612" s="141"/>
      <c r="AY612" s="149"/>
      <c r="AZ612" s="121"/>
      <c r="BA612" s="150"/>
      <c r="BB612" s="158"/>
      <c r="BC612" s="124"/>
      <c r="BD612" s="159"/>
      <c r="BE612" s="167"/>
      <c r="BF612" s="85"/>
      <c r="BG612" s="168"/>
      <c r="BH612" s="175"/>
      <c r="BI612" s="127"/>
      <c r="BJ612" s="176"/>
      <c r="BK612" s="184"/>
      <c r="BL612" s="130"/>
      <c r="BM612" s="185"/>
      <c r="BN612" s="69"/>
      <c r="BO612" s="85"/>
      <c r="BP612" s="85"/>
      <c r="BQ612" s="85"/>
      <c r="BR612" s="85"/>
      <c r="BS612" s="85"/>
      <c r="BT612" s="85"/>
      <c r="BU612" s="87"/>
      <c r="BV612" s="87"/>
      <c r="BW612" s="87"/>
      <c r="BX612" s="87"/>
      <c r="BY612" s="87"/>
      <c r="BZ612" s="87"/>
      <c r="CA612" s="90"/>
      <c r="CB612" s="90"/>
      <c r="CC612" s="90"/>
      <c r="CD612" s="90"/>
      <c r="CE612" s="90"/>
      <c r="CF612" s="90"/>
      <c r="CG612" s="85"/>
      <c r="CH612" s="85"/>
      <c r="CI612" s="85"/>
      <c r="CJ612" s="85"/>
      <c r="CK612" s="85"/>
      <c r="CL612" s="87"/>
      <c r="CM612" s="87"/>
      <c r="CN612" s="87"/>
      <c r="CO612" s="87"/>
      <c r="CP612" s="90"/>
      <c r="CQ612" s="90"/>
      <c r="CR612" s="90"/>
      <c r="CS612" s="90"/>
      <c r="CT612" s="85"/>
      <c r="CU612" s="85"/>
      <c r="CV612" s="85"/>
      <c r="CW612" s="85"/>
      <c r="CX612" s="85"/>
      <c r="CY612" s="85"/>
      <c r="CZ612" s="85"/>
      <c r="DA612" s="33">
        <f t="shared" si="8"/>
        <v>0</v>
      </c>
    </row>
    <row r="613" spans="36:105" ht="19" x14ac:dyDescent="0.25">
      <c r="AJ613" s="63"/>
      <c r="AK613" s="20"/>
      <c r="AL613" s="21"/>
      <c r="AM613" s="22"/>
      <c r="AN613" s="23"/>
      <c r="AO613" s="24"/>
      <c r="AP613" s="25"/>
      <c r="AQ613" s="26"/>
      <c r="AR613" s="27"/>
      <c r="AS613" s="192"/>
      <c r="AT613" s="111"/>
      <c r="AU613" s="193"/>
      <c r="AV613" s="140"/>
      <c r="AW613" s="118"/>
      <c r="AX613" s="141"/>
      <c r="AY613" s="149"/>
      <c r="AZ613" s="121"/>
      <c r="BA613" s="150"/>
      <c r="BB613" s="158"/>
      <c r="BC613" s="124"/>
      <c r="BD613" s="159"/>
      <c r="BE613" s="167"/>
      <c r="BF613" s="85"/>
      <c r="BG613" s="168"/>
      <c r="BH613" s="175"/>
      <c r="BI613" s="127"/>
      <c r="BJ613" s="176"/>
      <c r="BK613" s="184"/>
      <c r="BL613" s="130"/>
      <c r="BM613" s="185"/>
      <c r="BN613" s="69"/>
      <c r="BO613" s="85"/>
      <c r="BP613" s="85"/>
      <c r="BQ613" s="85"/>
      <c r="BR613" s="85"/>
      <c r="BS613" s="85"/>
      <c r="BT613" s="85"/>
      <c r="BU613" s="87"/>
      <c r="BV613" s="87"/>
      <c r="BW613" s="87"/>
      <c r="BX613" s="87"/>
      <c r="BY613" s="87"/>
      <c r="BZ613" s="87"/>
      <c r="CA613" s="90"/>
      <c r="CB613" s="90"/>
      <c r="CC613" s="90"/>
      <c r="CD613" s="90"/>
      <c r="CE613" s="90"/>
      <c r="CF613" s="90"/>
      <c r="CG613" s="85"/>
      <c r="CH613" s="85"/>
      <c r="CI613" s="85"/>
      <c r="CJ613" s="85"/>
      <c r="CK613" s="85"/>
      <c r="CL613" s="87"/>
      <c r="CM613" s="87"/>
      <c r="CN613" s="87"/>
      <c r="CO613" s="87"/>
      <c r="CP613" s="90"/>
      <c r="CQ613" s="90"/>
      <c r="CR613" s="90"/>
      <c r="CS613" s="90"/>
      <c r="CT613" s="85"/>
      <c r="CU613" s="85"/>
      <c r="CV613" s="85"/>
      <c r="CW613" s="85"/>
      <c r="CX613" s="85"/>
      <c r="CY613" s="85"/>
      <c r="CZ613" s="85"/>
      <c r="DA613" s="33">
        <f t="shared" si="8"/>
        <v>0</v>
      </c>
    </row>
    <row r="614" spans="36:105" ht="19" x14ac:dyDescent="0.25">
      <c r="AJ614" s="63"/>
      <c r="AK614" s="20"/>
      <c r="AL614" s="21"/>
      <c r="AM614" s="22"/>
      <c r="AN614" s="23"/>
      <c r="AO614" s="24"/>
      <c r="AP614" s="25"/>
      <c r="AQ614" s="26"/>
      <c r="AR614" s="27"/>
      <c r="AS614" s="192"/>
      <c r="AT614" s="111"/>
      <c r="AU614" s="193"/>
      <c r="AV614" s="140"/>
      <c r="AW614" s="118"/>
      <c r="AX614" s="141"/>
      <c r="AY614" s="149"/>
      <c r="AZ614" s="121"/>
      <c r="BA614" s="150"/>
      <c r="BB614" s="158"/>
      <c r="BC614" s="124"/>
      <c r="BD614" s="159"/>
      <c r="BE614" s="167"/>
      <c r="BF614" s="85"/>
      <c r="BG614" s="168"/>
      <c r="BH614" s="175"/>
      <c r="BI614" s="127"/>
      <c r="BJ614" s="176"/>
      <c r="BK614" s="184"/>
      <c r="BL614" s="130"/>
      <c r="BM614" s="185"/>
      <c r="BN614" s="69"/>
      <c r="BO614" s="85"/>
      <c r="BP614" s="85"/>
      <c r="BQ614" s="85"/>
      <c r="BR614" s="85"/>
      <c r="BS614" s="85"/>
      <c r="BT614" s="85"/>
      <c r="BU614" s="87"/>
      <c r="BV614" s="87"/>
      <c r="BW614" s="87"/>
      <c r="BX614" s="87"/>
      <c r="BY614" s="87"/>
      <c r="BZ614" s="87"/>
      <c r="CA614" s="90"/>
      <c r="CB614" s="90"/>
      <c r="CC614" s="90"/>
      <c r="CD614" s="90"/>
      <c r="CE614" s="90"/>
      <c r="CF614" s="90"/>
      <c r="CG614" s="85"/>
      <c r="CH614" s="85"/>
      <c r="CI614" s="85"/>
      <c r="CJ614" s="85"/>
      <c r="CK614" s="85"/>
      <c r="CL614" s="87"/>
      <c r="CM614" s="87"/>
      <c r="CN614" s="87"/>
      <c r="CO614" s="87"/>
      <c r="CP614" s="90"/>
      <c r="CQ614" s="90"/>
      <c r="CR614" s="90"/>
      <c r="CS614" s="90"/>
      <c r="CT614" s="85"/>
      <c r="CU614" s="85"/>
      <c r="CV614" s="85"/>
      <c r="CW614" s="85"/>
      <c r="CX614" s="85"/>
      <c r="CY614" s="85"/>
      <c r="CZ614" s="85"/>
      <c r="DA614" s="33">
        <f t="shared" ref="DA614:DA667" si="9">D614</f>
        <v>0</v>
      </c>
    </row>
    <row r="615" spans="36:105" ht="19" x14ac:dyDescent="0.25">
      <c r="AJ615" s="63"/>
      <c r="AK615" s="20"/>
      <c r="AL615" s="21"/>
      <c r="AM615" s="22"/>
      <c r="AN615" s="23"/>
      <c r="AO615" s="24"/>
      <c r="AP615" s="25"/>
      <c r="AQ615" s="26"/>
      <c r="AR615" s="27"/>
      <c r="AS615" s="192"/>
      <c r="AT615" s="111"/>
      <c r="AU615" s="193"/>
      <c r="AV615" s="140"/>
      <c r="AW615" s="118"/>
      <c r="AX615" s="141"/>
      <c r="AY615" s="149"/>
      <c r="AZ615" s="121"/>
      <c r="BA615" s="150"/>
      <c r="BB615" s="158"/>
      <c r="BC615" s="124"/>
      <c r="BD615" s="159"/>
      <c r="BE615" s="167"/>
      <c r="BF615" s="85"/>
      <c r="BG615" s="168"/>
      <c r="BH615" s="175"/>
      <c r="BI615" s="127"/>
      <c r="BJ615" s="176"/>
      <c r="BK615" s="184"/>
      <c r="BL615" s="130"/>
      <c r="BM615" s="185"/>
      <c r="BN615" s="69"/>
      <c r="BO615" s="85"/>
      <c r="BP615" s="85"/>
      <c r="BQ615" s="85"/>
      <c r="BR615" s="85"/>
      <c r="BS615" s="85"/>
      <c r="BT615" s="85"/>
      <c r="BU615" s="87"/>
      <c r="BV615" s="87"/>
      <c r="BW615" s="87"/>
      <c r="BX615" s="87"/>
      <c r="BY615" s="87"/>
      <c r="BZ615" s="87"/>
      <c r="CA615" s="90"/>
      <c r="CB615" s="90"/>
      <c r="CC615" s="90"/>
      <c r="CD615" s="90"/>
      <c r="CE615" s="90"/>
      <c r="CF615" s="90"/>
      <c r="CG615" s="85"/>
      <c r="CH615" s="85"/>
      <c r="CI615" s="85"/>
      <c r="CJ615" s="85"/>
      <c r="CK615" s="85"/>
      <c r="CL615" s="87"/>
      <c r="CM615" s="87"/>
      <c r="CN615" s="87"/>
      <c r="CO615" s="87"/>
      <c r="CP615" s="90"/>
      <c r="CQ615" s="90"/>
      <c r="CR615" s="90"/>
      <c r="CS615" s="90"/>
      <c r="CT615" s="85"/>
      <c r="CU615" s="85"/>
      <c r="CV615" s="85"/>
      <c r="CW615" s="85"/>
      <c r="CX615" s="85"/>
      <c r="CY615" s="85"/>
      <c r="CZ615" s="85"/>
      <c r="DA615" s="33">
        <f t="shared" si="9"/>
        <v>0</v>
      </c>
    </row>
    <row r="616" spans="36:105" ht="19" x14ac:dyDescent="0.25">
      <c r="AJ616" s="63"/>
      <c r="AK616" s="20"/>
      <c r="AL616" s="21"/>
      <c r="AM616" s="22"/>
      <c r="AN616" s="23"/>
      <c r="AO616" s="24"/>
      <c r="AP616" s="25"/>
      <c r="AQ616" s="26"/>
      <c r="AR616" s="27"/>
      <c r="AS616" s="192"/>
      <c r="AT616" s="111"/>
      <c r="AU616" s="193"/>
      <c r="AV616" s="140"/>
      <c r="AW616" s="118"/>
      <c r="AX616" s="141"/>
      <c r="AY616" s="149"/>
      <c r="AZ616" s="121"/>
      <c r="BA616" s="150"/>
      <c r="BB616" s="158"/>
      <c r="BC616" s="124"/>
      <c r="BD616" s="159"/>
      <c r="BE616" s="167"/>
      <c r="BF616" s="85"/>
      <c r="BG616" s="168"/>
      <c r="BH616" s="175"/>
      <c r="BI616" s="127"/>
      <c r="BJ616" s="176"/>
      <c r="BK616" s="184"/>
      <c r="BL616" s="130"/>
      <c r="BM616" s="185"/>
      <c r="BN616" s="69"/>
      <c r="BO616" s="85"/>
      <c r="BP616" s="85"/>
      <c r="BQ616" s="85"/>
      <c r="BR616" s="85"/>
      <c r="BS616" s="85"/>
      <c r="BT616" s="85"/>
      <c r="BU616" s="87"/>
      <c r="BV616" s="87"/>
      <c r="BW616" s="87"/>
      <c r="BX616" s="87"/>
      <c r="BY616" s="87"/>
      <c r="BZ616" s="87"/>
      <c r="CA616" s="90"/>
      <c r="CB616" s="90"/>
      <c r="CC616" s="90"/>
      <c r="CD616" s="90"/>
      <c r="CE616" s="90"/>
      <c r="CF616" s="90"/>
      <c r="CG616" s="85"/>
      <c r="CH616" s="85"/>
      <c r="CI616" s="85"/>
      <c r="CJ616" s="85"/>
      <c r="CK616" s="85"/>
      <c r="CL616" s="87"/>
      <c r="CM616" s="87"/>
      <c r="CN616" s="87"/>
      <c r="CO616" s="87"/>
      <c r="CP616" s="90"/>
      <c r="CQ616" s="90"/>
      <c r="CR616" s="90"/>
      <c r="CS616" s="90"/>
      <c r="CT616" s="85"/>
      <c r="CU616" s="85"/>
      <c r="CV616" s="85"/>
      <c r="CW616" s="85"/>
      <c r="CX616" s="85"/>
      <c r="CY616" s="85"/>
      <c r="CZ616" s="85"/>
      <c r="DA616" s="33">
        <f t="shared" si="9"/>
        <v>0</v>
      </c>
    </row>
    <row r="617" spans="36:105" ht="19" x14ac:dyDescent="0.25">
      <c r="AJ617" s="63"/>
      <c r="AK617" s="20"/>
      <c r="AL617" s="21"/>
      <c r="AM617" s="22"/>
      <c r="AN617" s="23"/>
      <c r="AO617" s="24"/>
      <c r="AP617" s="25"/>
      <c r="AQ617" s="26"/>
      <c r="AR617" s="27"/>
      <c r="AS617" s="192"/>
      <c r="AT617" s="111"/>
      <c r="AU617" s="193"/>
      <c r="AV617" s="140"/>
      <c r="AW617" s="118"/>
      <c r="AX617" s="141"/>
      <c r="AY617" s="149"/>
      <c r="AZ617" s="121"/>
      <c r="BA617" s="150"/>
      <c r="BB617" s="158"/>
      <c r="BC617" s="124"/>
      <c r="BD617" s="159"/>
      <c r="BE617" s="167"/>
      <c r="BF617" s="85"/>
      <c r="BG617" s="168"/>
      <c r="BH617" s="175"/>
      <c r="BI617" s="127"/>
      <c r="BJ617" s="176"/>
      <c r="BK617" s="184"/>
      <c r="BL617" s="130"/>
      <c r="BM617" s="185"/>
      <c r="BN617" s="69"/>
      <c r="BO617" s="85"/>
      <c r="BP617" s="85"/>
      <c r="BQ617" s="85"/>
      <c r="BR617" s="85"/>
      <c r="BS617" s="85"/>
      <c r="BT617" s="85"/>
      <c r="BU617" s="87"/>
      <c r="BV617" s="87"/>
      <c r="BW617" s="87"/>
      <c r="BX617" s="87"/>
      <c r="BY617" s="87"/>
      <c r="BZ617" s="87"/>
      <c r="CA617" s="90"/>
      <c r="CB617" s="90"/>
      <c r="CC617" s="90"/>
      <c r="CD617" s="90"/>
      <c r="CE617" s="90"/>
      <c r="CF617" s="90"/>
      <c r="CG617" s="85"/>
      <c r="CH617" s="85"/>
      <c r="CI617" s="85"/>
      <c r="CJ617" s="85"/>
      <c r="CK617" s="85"/>
      <c r="CL617" s="87"/>
      <c r="CM617" s="87"/>
      <c r="CN617" s="87"/>
      <c r="CO617" s="87"/>
      <c r="CP617" s="90"/>
      <c r="CQ617" s="90"/>
      <c r="CR617" s="90"/>
      <c r="CS617" s="90"/>
      <c r="CT617" s="85"/>
      <c r="CU617" s="85"/>
      <c r="CV617" s="85"/>
      <c r="CW617" s="85"/>
      <c r="CX617" s="85"/>
      <c r="CY617" s="85"/>
      <c r="CZ617" s="85"/>
      <c r="DA617" s="33">
        <f t="shared" si="9"/>
        <v>0</v>
      </c>
    </row>
    <row r="618" spans="36:105" ht="19" x14ac:dyDescent="0.25">
      <c r="AJ618" s="63"/>
      <c r="AK618" s="20"/>
      <c r="AL618" s="21"/>
      <c r="AM618" s="22"/>
      <c r="AN618" s="23"/>
      <c r="AO618" s="24"/>
      <c r="AP618" s="25"/>
      <c r="AQ618" s="26"/>
      <c r="AR618" s="27"/>
      <c r="AS618" s="192"/>
      <c r="AT618" s="111"/>
      <c r="AU618" s="193"/>
      <c r="AV618" s="140"/>
      <c r="AW618" s="118"/>
      <c r="AX618" s="141"/>
      <c r="AY618" s="149"/>
      <c r="AZ618" s="121"/>
      <c r="BA618" s="150"/>
      <c r="BB618" s="158"/>
      <c r="BC618" s="124"/>
      <c r="BD618" s="159"/>
      <c r="BE618" s="167"/>
      <c r="BF618" s="85"/>
      <c r="BG618" s="168"/>
      <c r="BH618" s="175"/>
      <c r="BI618" s="127"/>
      <c r="BJ618" s="176"/>
      <c r="BK618" s="184"/>
      <c r="BL618" s="130"/>
      <c r="BM618" s="185"/>
      <c r="BN618" s="69"/>
      <c r="BO618" s="85"/>
      <c r="BP618" s="85"/>
      <c r="BQ618" s="85"/>
      <c r="BR618" s="85"/>
      <c r="BS618" s="85"/>
      <c r="BT618" s="85"/>
      <c r="BU618" s="87"/>
      <c r="BV618" s="87"/>
      <c r="BW618" s="87"/>
      <c r="BX618" s="87"/>
      <c r="BY618" s="87"/>
      <c r="BZ618" s="87"/>
      <c r="CA618" s="90"/>
      <c r="CB618" s="90"/>
      <c r="CC618" s="90"/>
      <c r="CD618" s="90"/>
      <c r="CE618" s="90"/>
      <c r="CF618" s="90"/>
      <c r="CG618" s="85"/>
      <c r="CH618" s="85"/>
      <c r="CI618" s="85"/>
      <c r="CJ618" s="85"/>
      <c r="CK618" s="85"/>
      <c r="CL618" s="87"/>
      <c r="CM618" s="87"/>
      <c r="CN618" s="87"/>
      <c r="CO618" s="87"/>
      <c r="CP618" s="90"/>
      <c r="CQ618" s="90"/>
      <c r="CR618" s="90"/>
      <c r="CS618" s="90"/>
      <c r="CT618" s="85"/>
      <c r="CU618" s="85"/>
      <c r="CV618" s="85"/>
      <c r="CW618" s="85"/>
      <c r="CX618" s="85"/>
      <c r="CY618" s="85"/>
      <c r="CZ618" s="85"/>
      <c r="DA618" s="33">
        <f t="shared" si="9"/>
        <v>0</v>
      </c>
    </row>
    <row r="619" spans="36:105" ht="19" x14ac:dyDescent="0.25">
      <c r="AJ619" s="63"/>
      <c r="AK619" s="20"/>
      <c r="AL619" s="21"/>
      <c r="AM619" s="22"/>
      <c r="AN619" s="23"/>
      <c r="AO619" s="24"/>
      <c r="AP619" s="25"/>
      <c r="AQ619" s="26"/>
      <c r="AR619" s="27"/>
      <c r="AS619" s="192"/>
      <c r="AT619" s="111"/>
      <c r="AU619" s="193"/>
      <c r="AV619" s="140"/>
      <c r="AW619" s="118"/>
      <c r="AX619" s="141"/>
      <c r="AY619" s="149"/>
      <c r="AZ619" s="121"/>
      <c r="BA619" s="150"/>
      <c r="BB619" s="158"/>
      <c r="BC619" s="124"/>
      <c r="BD619" s="159"/>
      <c r="BE619" s="167"/>
      <c r="BF619" s="85"/>
      <c r="BG619" s="168"/>
      <c r="BH619" s="175"/>
      <c r="BI619" s="127"/>
      <c r="BJ619" s="176"/>
      <c r="BK619" s="184"/>
      <c r="BL619" s="130"/>
      <c r="BM619" s="185"/>
      <c r="BN619" s="69"/>
      <c r="BO619" s="85"/>
      <c r="BP619" s="85"/>
      <c r="BQ619" s="85"/>
      <c r="BR619" s="85"/>
      <c r="BS619" s="85"/>
      <c r="BT619" s="85"/>
      <c r="BU619" s="87"/>
      <c r="BV619" s="87"/>
      <c r="BW619" s="87"/>
      <c r="BX619" s="87"/>
      <c r="BY619" s="87"/>
      <c r="BZ619" s="87"/>
      <c r="CA619" s="90"/>
      <c r="CB619" s="90"/>
      <c r="CC619" s="90"/>
      <c r="CD619" s="90"/>
      <c r="CE619" s="90"/>
      <c r="CF619" s="90"/>
      <c r="CG619" s="85"/>
      <c r="CH619" s="85"/>
      <c r="CI619" s="85"/>
      <c r="CJ619" s="85"/>
      <c r="CK619" s="85"/>
      <c r="CL619" s="87"/>
      <c r="CM619" s="87"/>
      <c r="CN619" s="87"/>
      <c r="CO619" s="87"/>
      <c r="CP619" s="90"/>
      <c r="CQ619" s="90"/>
      <c r="CR619" s="90"/>
      <c r="CS619" s="90"/>
      <c r="CT619" s="85"/>
      <c r="CU619" s="85"/>
      <c r="CV619" s="85"/>
      <c r="CW619" s="85"/>
      <c r="CX619" s="85"/>
      <c r="CY619" s="85"/>
      <c r="CZ619" s="85"/>
      <c r="DA619" s="33">
        <f t="shared" si="9"/>
        <v>0</v>
      </c>
    </row>
    <row r="620" spans="36:105" ht="19" x14ac:dyDescent="0.25">
      <c r="AJ620" s="63"/>
      <c r="AK620" s="20"/>
      <c r="AL620" s="21"/>
      <c r="AM620" s="22"/>
      <c r="AN620" s="23"/>
      <c r="AO620" s="24"/>
      <c r="AP620" s="25"/>
      <c r="AQ620" s="26"/>
      <c r="AR620" s="27"/>
      <c r="AS620" s="192"/>
      <c r="AT620" s="111"/>
      <c r="AU620" s="193"/>
      <c r="AV620" s="140"/>
      <c r="AW620" s="118"/>
      <c r="AX620" s="141"/>
      <c r="AY620" s="149"/>
      <c r="AZ620" s="121"/>
      <c r="BA620" s="150"/>
      <c r="BB620" s="158"/>
      <c r="BC620" s="124"/>
      <c r="BD620" s="159"/>
      <c r="BE620" s="167"/>
      <c r="BF620" s="85"/>
      <c r="BG620" s="168"/>
      <c r="BH620" s="175"/>
      <c r="BI620" s="127"/>
      <c r="BJ620" s="176"/>
      <c r="BK620" s="184"/>
      <c r="BL620" s="130"/>
      <c r="BM620" s="185"/>
      <c r="BN620" s="69"/>
      <c r="BO620" s="85"/>
      <c r="BP620" s="85"/>
      <c r="BQ620" s="85"/>
      <c r="BR620" s="85"/>
      <c r="BS620" s="85"/>
      <c r="BT620" s="85"/>
      <c r="BU620" s="87"/>
      <c r="BV620" s="87"/>
      <c r="BW620" s="87"/>
      <c r="BX620" s="87"/>
      <c r="BY620" s="87"/>
      <c r="BZ620" s="87"/>
      <c r="CA620" s="90"/>
      <c r="CB620" s="90"/>
      <c r="CC620" s="90"/>
      <c r="CD620" s="90"/>
      <c r="CE620" s="90"/>
      <c r="CF620" s="90"/>
      <c r="CG620" s="85"/>
      <c r="CH620" s="85"/>
      <c r="CI620" s="85"/>
      <c r="CJ620" s="85"/>
      <c r="CK620" s="85"/>
      <c r="CL620" s="87"/>
      <c r="CM620" s="87"/>
      <c r="CN620" s="87"/>
      <c r="CO620" s="87"/>
      <c r="CP620" s="90"/>
      <c r="CQ620" s="90"/>
      <c r="CR620" s="90"/>
      <c r="CS620" s="90"/>
      <c r="CT620" s="85"/>
      <c r="CU620" s="85"/>
      <c r="CV620" s="85"/>
      <c r="CW620" s="85"/>
      <c r="CX620" s="85"/>
      <c r="CY620" s="85"/>
      <c r="CZ620" s="85"/>
      <c r="DA620" s="33">
        <f t="shared" si="9"/>
        <v>0</v>
      </c>
    </row>
    <row r="621" spans="36:105" ht="19" x14ac:dyDescent="0.25">
      <c r="AJ621" s="63"/>
      <c r="AK621" s="20"/>
      <c r="AL621" s="21"/>
      <c r="AM621" s="22"/>
      <c r="AN621" s="23"/>
      <c r="AO621" s="24"/>
      <c r="AP621" s="25"/>
      <c r="AQ621" s="26"/>
      <c r="AR621" s="27"/>
      <c r="AS621" s="192"/>
      <c r="AT621" s="111"/>
      <c r="AU621" s="193"/>
      <c r="AV621" s="140"/>
      <c r="AW621" s="118"/>
      <c r="AX621" s="141"/>
      <c r="AY621" s="149"/>
      <c r="AZ621" s="121"/>
      <c r="BA621" s="150"/>
      <c r="BB621" s="158"/>
      <c r="BC621" s="124"/>
      <c r="BD621" s="159"/>
      <c r="BE621" s="167"/>
      <c r="BF621" s="85"/>
      <c r="BG621" s="168"/>
      <c r="BH621" s="175"/>
      <c r="BI621" s="127"/>
      <c r="BJ621" s="176"/>
      <c r="BK621" s="184"/>
      <c r="BL621" s="130"/>
      <c r="BM621" s="185"/>
      <c r="BN621" s="69"/>
      <c r="BO621" s="85"/>
      <c r="BP621" s="85"/>
      <c r="BQ621" s="85"/>
      <c r="BR621" s="85"/>
      <c r="BS621" s="85"/>
      <c r="BT621" s="85"/>
      <c r="BU621" s="87"/>
      <c r="BV621" s="87"/>
      <c r="BW621" s="87"/>
      <c r="BX621" s="87"/>
      <c r="BY621" s="87"/>
      <c r="BZ621" s="87"/>
      <c r="CA621" s="90"/>
      <c r="CB621" s="90"/>
      <c r="CC621" s="90"/>
      <c r="CD621" s="90"/>
      <c r="CE621" s="90"/>
      <c r="CF621" s="90"/>
      <c r="CG621" s="85"/>
      <c r="CH621" s="85"/>
      <c r="CI621" s="85"/>
      <c r="CJ621" s="85"/>
      <c r="CK621" s="85"/>
      <c r="CL621" s="87"/>
      <c r="CM621" s="87"/>
      <c r="CN621" s="87"/>
      <c r="CO621" s="87"/>
      <c r="CP621" s="90"/>
      <c r="CQ621" s="90"/>
      <c r="CR621" s="90"/>
      <c r="CS621" s="90"/>
      <c r="CT621" s="85"/>
      <c r="CU621" s="85"/>
      <c r="CV621" s="85"/>
      <c r="CW621" s="85"/>
      <c r="CX621" s="85"/>
      <c r="CY621" s="85"/>
      <c r="CZ621" s="85"/>
      <c r="DA621" s="33">
        <f t="shared" si="9"/>
        <v>0</v>
      </c>
    </row>
    <row r="622" spans="36:105" ht="19" x14ac:dyDescent="0.25">
      <c r="AJ622" s="63"/>
      <c r="AK622" s="20"/>
      <c r="AL622" s="21"/>
      <c r="AM622" s="22"/>
      <c r="AN622" s="23"/>
      <c r="AO622" s="24"/>
      <c r="AP622" s="25"/>
      <c r="AQ622" s="26"/>
      <c r="AR622" s="27"/>
      <c r="AS622" s="192"/>
      <c r="AT622" s="111"/>
      <c r="AU622" s="193"/>
      <c r="AV622" s="140"/>
      <c r="AW622" s="118"/>
      <c r="AX622" s="141"/>
      <c r="AY622" s="149"/>
      <c r="AZ622" s="121"/>
      <c r="BA622" s="150"/>
      <c r="BB622" s="158"/>
      <c r="BC622" s="124"/>
      <c r="BD622" s="159"/>
      <c r="BE622" s="167"/>
      <c r="BF622" s="85"/>
      <c r="BG622" s="168"/>
      <c r="BH622" s="175"/>
      <c r="BI622" s="127"/>
      <c r="BJ622" s="176"/>
      <c r="BK622" s="184"/>
      <c r="BL622" s="130"/>
      <c r="BM622" s="185"/>
      <c r="BN622" s="69"/>
      <c r="BO622" s="85"/>
      <c r="BP622" s="85"/>
      <c r="BQ622" s="85"/>
      <c r="BR622" s="85"/>
      <c r="BS622" s="85"/>
      <c r="BT622" s="85"/>
      <c r="BU622" s="87"/>
      <c r="BV622" s="87"/>
      <c r="BW622" s="87"/>
      <c r="BX622" s="87"/>
      <c r="BY622" s="87"/>
      <c r="BZ622" s="87"/>
      <c r="CA622" s="90"/>
      <c r="CB622" s="90"/>
      <c r="CC622" s="90"/>
      <c r="CD622" s="90"/>
      <c r="CE622" s="90"/>
      <c r="CF622" s="90"/>
      <c r="CG622" s="85"/>
      <c r="CH622" s="85"/>
      <c r="CI622" s="85"/>
      <c r="CJ622" s="85"/>
      <c r="CK622" s="85"/>
      <c r="CL622" s="87"/>
      <c r="CM622" s="87"/>
      <c r="CN622" s="87"/>
      <c r="CO622" s="87"/>
      <c r="CP622" s="90"/>
      <c r="CQ622" s="90"/>
      <c r="CR622" s="90"/>
      <c r="CS622" s="90"/>
      <c r="CT622" s="85"/>
      <c r="CU622" s="85"/>
      <c r="CV622" s="85"/>
      <c r="CW622" s="85"/>
      <c r="CX622" s="85"/>
      <c r="CY622" s="85"/>
      <c r="CZ622" s="85"/>
      <c r="DA622" s="33">
        <f t="shared" si="9"/>
        <v>0</v>
      </c>
    </row>
    <row r="623" spans="36:105" ht="19" x14ac:dyDescent="0.25">
      <c r="AJ623" s="63"/>
      <c r="AK623" s="20"/>
      <c r="AL623" s="21"/>
      <c r="AM623" s="22"/>
      <c r="AN623" s="23"/>
      <c r="AO623" s="24"/>
      <c r="AP623" s="25"/>
      <c r="AQ623" s="26"/>
      <c r="AR623" s="27"/>
      <c r="AS623" s="192"/>
      <c r="AT623" s="111"/>
      <c r="AU623" s="193"/>
      <c r="AV623" s="140"/>
      <c r="AW623" s="118"/>
      <c r="AX623" s="141"/>
      <c r="AY623" s="149"/>
      <c r="AZ623" s="121"/>
      <c r="BA623" s="150"/>
      <c r="BB623" s="158"/>
      <c r="BC623" s="124"/>
      <c r="BD623" s="159"/>
      <c r="BE623" s="167"/>
      <c r="BF623" s="85"/>
      <c r="BG623" s="168"/>
      <c r="BH623" s="175"/>
      <c r="BI623" s="127"/>
      <c r="BJ623" s="176"/>
      <c r="BK623" s="184"/>
      <c r="BL623" s="130"/>
      <c r="BM623" s="185"/>
      <c r="BN623" s="69"/>
      <c r="BO623" s="85"/>
      <c r="BP623" s="85"/>
      <c r="BQ623" s="85"/>
      <c r="BR623" s="85"/>
      <c r="BS623" s="85"/>
      <c r="BT623" s="85"/>
      <c r="BU623" s="87"/>
      <c r="BV623" s="87"/>
      <c r="BW623" s="87"/>
      <c r="BX623" s="87"/>
      <c r="BY623" s="87"/>
      <c r="BZ623" s="87"/>
      <c r="CA623" s="90"/>
      <c r="CB623" s="90"/>
      <c r="CC623" s="90"/>
      <c r="CD623" s="90"/>
      <c r="CE623" s="90"/>
      <c r="CF623" s="90"/>
      <c r="CG623" s="85"/>
      <c r="CH623" s="85"/>
      <c r="CI623" s="85"/>
      <c r="CJ623" s="85"/>
      <c r="CK623" s="85"/>
      <c r="CL623" s="87"/>
      <c r="CM623" s="87"/>
      <c r="CN623" s="87"/>
      <c r="CO623" s="87"/>
      <c r="CP623" s="90"/>
      <c r="CQ623" s="90"/>
      <c r="CR623" s="90"/>
      <c r="CS623" s="90"/>
      <c r="CT623" s="85"/>
      <c r="CU623" s="85"/>
      <c r="CV623" s="85"/>
      <c r="CW623" s="85"/>
      <c r="CX623" s="85"/>
      <c r="CY623" s="85"/>
      <c r="CZ623" s="85"/>
      <c r="DA623" s="33">
        <f t="shared" si="9"/>
        <v>0</v>
      </c>
    </row>
    <row r="624" spans="36:105" ht="19" x14ac:dyDescent="0.25">
      <c r="AJ624" s="63"/>
      <c r="AK624" s="20"/>
      <c r="AL624" s="21"/>
      <c r="AM624" s="22"/>
      <c r="AN624" s="23"/>
      <c r="AO624" s="24"/>
      <c r="AP624" s="25"/>
      <c r="AQ624" s="26"/>
      <c r="AR624" s="27"/>
      <c r="AS624" s="192"/>
      <c r="AT624" s="111"/>
      <c r="AU624" s="193"/>
      <c r="AV624" s="140"/>
      <c r="AW624" s="118"/>
      <c r="AX624" s="141"/>
      <c r="AY624" s="149"/>
      <c r="AZ624" s="121"/>
      <c r="BA624" s="150"/>
      <c r="BB624" s="158"/>
      <c r="BC624" s="124"/>
      <c r="BD624" s="159"/>
      <c r="BE624" s="167"/>
      <c r="BF624" s="85"/>
      <c r="BG624" s="168"/>
      <c r="BH624" s="175"/>
      <c r="BI624" s="127"/>
      <c r="BJ624" s="176"/>
      <c r="BK624" s="184"/>
      <c r="BL624" s="130"/>
      <c r="BM624" s="185"/>
      <c r="BN624" s="69"/>
      <c r="BO624" s="85"/>
      <c r="BP624" s="85"/>
      <c r="BQ624" s="85"/>
      <c r="BR624" s="85"/>
      <c r="BS624" s="85"/>
      <c r="BT624" s="85"/>
      <c r="BU624" s="87"/>
      <c r="BV624" s="87"/>
      <c r="BW624" s="87"/>
      <c r="BX624" s="87"/>
      <c r="BY624" s="87"/>
      <c r="BZ624" s="87"/>
      <c r="CA624" s="90"/>
      <c r="CB624" s="90"/>
      <c r="CC624" s="90"/>
      <c r="CD624" s="90"/>
      <c r="CE624" s="90"/>
      <c r="CF624" s="90"/>
      <c r="CG624" s="85"/>
      <c r="CH624" s="85"/>
      <c r="CI624" s="85"/>
      <c r="CJ624" s="85"/>
      <c r="CK624" s="85"/>
      <c r="CL624" s="87"/>
      <c r="CM624" s="87"/>
      <c r="CN624" s="87"/>
      <c r="CO624" s="87"/>
      <c r="CP624" s="90"/>
      <c r="CQ624" s="90"/>
      <c r="CR624" s="90"/>
      <c r="CS624" s="90"/>
      <c r="CT624" s="85"/>
      <c r="CU624" s="85"/>
      <c r="CV624" s="85"/>
      <c r="CW624" s="85"/>
      <c r="CX624" s="85"/>
      <c r="CY624" s="85"/>
      <c r="CZ624" s="85"/>
      <c r="DA624" s="33">
        <f t="shared" si="9"/>
        <v>0</v>
      </c>
    </row>
    <row r="625" spans="36:105" ht="19" x14ac:dyDescent="0.25">
      <c r="AJ625" s="63"/>
      <c r="AK625" s="20"/>
      <c r="AL625" s="21"/>
      <c r="AM625" s="22"/>
      <c r="AN625" s="23"/>
      <c r="AO625" s="24"/>
      <c r="AP625" s="25"/>
      <c r="AQ625" s="26"/>
      <c r="AR625" s="27"/>
      <c r="AS625" s="192"/>
      <c r="AT625" s="111"/>
      <c r="AU625" s="193"/>
      <c r="AV625" s="140"/>
      <c r="AW625" s="118"/>
      <c r="AX625" s="141"/>
      <c r="AY625" s="149"/>
      <c r="AZ625" s="121"/>
      <c r="BA625" s="150"/>
      <c r="BB625" s="158"/>
      <c r="BC625" s="124"/>
      <c r="BD625" s="159"/>
      <c r="BE625" s="167"/>
      <c r="BF625" s="85"/>
      <c r="BG625" s="168"/>
      <c r="BH625" s="175"/>
      <c r="BI625" s="127"/>
      <c r="BJ625" s="176"/>
      <c r="BK625" s="184"/>
      <c r="BL625" s="130"/>
      <c r="BM625" s="185"/>
      <c r="BN625" s="69"/>
      <c r="BO625" s="85"/>
      <c r="BP625" s="85"/>
      <c r="BQ625" s="85"/>
      <c r="BR625" s="85"/>
      <c r="BS625" s="85"/>
      <c r="BT625" s="85"/>
      <c r="BU625" s="87"/>
      <c r="BV625" s="87"/>
      <c r="BW625" s="87"/>
      <c r="BX625" s="87"/>
      <c r="BY625" s="87"/>
      <c r="BZ625" s="87"/>
      <c r="CA625" s="90"/>
      <c r="CB625" s="90"/>
      <c r="CC625" s="90"/>
      <c r="CD625" s="90"/>
      <c r="CE625" s="90"/>
      <c r="CF625" s="90"/>
      <c r="CG625" s="85"/>
      <c r="CH625" s="85"/>
      <c r="CI625" s="85"/>
      <c r="CJ625" s="85"/>
      <c r="CK625" s="85"/>
      <c r="CL625" s="87"/>
      <c r="CM625" s="87"/>
      <c r="CN625" s="87"/>
      <c r="CO625" s="87"/>
      <c r="CP625" s="90"/>
      <c r="CQ625" s="90"/>
      <c r="CR625" s="90"/>
      <c r="CS625" s="90"/>
      <c r="CT625" s="85"/>
      <c r="CU625" s="85"/>
      <c r="CV625" s="85"/>
      <c r="CW625" s="85"/>
      <c r="CX625" s="85"/>
      <c r="CY625" s="85"/>
      <c r="CZ625" s="85"/>
      <c r="DA625" s="33">
        <f t="shared" si="9"/>
        <v>0</v>
      </c>
    </row>
    <row r="626" spans="36:105" ht="19" x14ac:dyDescent="0.25">
      <c r="AJ626" s="63"/>
      <c r="AK626" s="20"/>
      <c r="AL626" s="21"/>
      <c r="AM626" s="22"/>
      <c r="AN626" s="23"/>
      <c r="AO626" s="24"/>
      <c r="AP626" s="25"/>
      <c r="AQ626" s="26"/>
      <c r="AR626" s="27"/>
      <c r="AS626" s="192"/>
      <c r="AT626" s="111"/>
      <c r="AU626" s="193"/>
      <c r="AV626" s="140"/>
      <c r="AW626" s="118"/>
      <c r="AX626" s="141"/>
      <c r="AY626" s="149"/>
      <c r="AZ626" s="121"/>
      <c r="BA626" s="150"/>
      <c r="BB626" s="158"/>
      <c r="BC626" s="124"/>
      <c r="BD626" s="159"/>
      <c r="BE626" s="167"/>
      <c r="BF626" s="85"/>
      <c r="BG626" s="168"/>
      <c r="BH626" s="175"/>
      <c r="BI626" s="127"/>
      <c r="BJ626" s="176"/>
      <c r="BK626" s="184"/>
      <c r="BL626" s="130"/>
      <c r="BM626" s="185"/>
      <c r="BN626" s="69"/>
      <c r="BO626" s="85"/>
      <c r="BP626" s="85"/>
      <c r="BQ626" s="85"/>
      <c r="BR626" s="85"/>
      <c r="BS626" s="85"/>
      <c r="BT626" s="85"/>
      <c r="BU626" s="87"/>
      <c r="BV626" s="87"/>
      <c r="BW626" s="87"/>
      <c r="BX626" s="87"/>
      <c r="BY626" s="87"/>
      <c r="BZ626" s="87"/>
      <c r="CA626" s="90"/>
      <c r="CB626" s="90"/>
      <c r="CC626" s="90"/>
      <c r="CD626" s="90"/>
      <c r="CE626" s="90"/>
      <c r="CF626" s="90"/>
      <c r="CG626" s="85"/>
      <c r="CH626" s="85"/>
      <c r="CI626" s="85"/>
      <c r="CJ626" s="85"/>
      <c r="CK626" s="85"/>
      <c r="CL626" s="87"/>
      <c r="CM626" s="87"/>
      <c r="CN626" s="87"/>
      <c r="CO626" s="87"/>
      <c r="CP626" s="90"/>
      <c r="CQ626" s="90"/>
      <c r="CR626" s="90"/>
      <c r="CS626" s="90"/>
      <c r="CT626" s="85"/>
      <c r="CU626" s="85"/>
      <c r="CV626" s="85"/>
      <c r="CW626" s="85"/>
      <c r="CX626" s="85"/>
      <c r="CY626" s="85"/>
      <c r="CZ626" s="85"/>
      <c r="DA626" s="33">
        <f t="shared" si="9"/>
        <v>0</v>
      </c>
    </row>
    <row r="627" spans="36:105" ht="19" x14ac:dyDescent="0.25">
      <c r="AJ627" s="63"/>
      <c r="AK627" s="20"/>
      <c r="AL627" s="21"/>
      <c r="AM627" s="22"/>
      <c r="AN627" s="23"/>
      <c r="AO627" s="24"/>
      <c r="AP627" s="25"/>
      <c r="AQ627" s="26"/>
      <c r="AR627" s="27"/>
      <c r="AS627" s="192"/>
      <c r="AT627" s="111"/>
      <c r="AU627" s="193"/>
      <c r="AV627" s="140"/>
      <c r="AW627" s="118"/>
      <c r="AX627" s="141"/>
      <c r="AY627" s="149"/>
      <c r="AZ627" s="121"/>
      <c r="BA627" s="150"/>
      <c r="BB627" s="158"/>
      <c r="BC627" s="124"/>
      <c r="BD627" s="159"/>
      <c r="BE627" s="167"/>
      <c r="BF627" s="85"/>
      <c r="BG627" s="168"/>
      <c r="BH627" s="175"/>
      <c r="BI627" s="127"/>
      <c r="BJ627" s="176"/>
      <c r="BK627" s="184"/>
      <c r="BL627" s="130"/>
      <c r="BM627" s="185"/>
      <c r="BN627" s="69"/>
      <c r="BO627" s="85"/>
      <c r="BP627" s="85"/>
      <c r="BQ627" s="85"/>
      <c r="BR627" s="85"/>
      <c r="BS627" s="85"/>
      <c r="BT627" s="85"/>
      <c r="BU627" s="87"/>
      <c r="BV627" s="87"/>
      <c r="BW627" s="87"/>
      <c r="BX627" s="87"/>
      <c r="BY627" s="87"/>
      <c r="BZ627" s="87"/>
      <c r="CA627" s="90"/>
      <c r="CB627" s="90"/>
      <c r="CC627" s="90"/>
      <c r="CD627" s="90"/>
      <c r="CE627" s="90"/>
      <c r="CF627" s="90"/>
      <c r="CG627" s="85"/>
      <c r="CH627" s="85"/>
      <c r="CI627" s="85"/>
      <c r="CJ627" s="85"/>
      <c r="CK627" s="85"/>
      <c r="CL627" s="87"/>
      <c r="CM627" s="87"/>
      <c r="CN627" s="87"/>
      <c r="CO627" s="87"/>
      <c r="CP627" s="90"/>
      <c r="CQ627" s="90"/>
      <c r="CR627" s="90"/>
      <c r="CS627" s="90"/>
      <c r="CT627" s="85"/>
      <c r="CU627" s="85"/>
      <c r="CV627" s="85"/>
      <c r="CW627" s="85"/>
      <c r="CX627" s="85"/>
      <c r="CY627" s="85"/>
      <c r="CZ627" s="85"/>
      <c r="DA627" s="33">
        <f t="shared" si="9"/>
        <v>0</v>
      </c>
    </row>
    <row r="628" spans="36:105" ht="19" x14ac:dyDescent="0.25">
      <c r="AJ628" s="63"/>
      <c r="AK628" s="20"/>
      <c r="AL628" s="21"/>
      <c r="AM628" s="22"/>
      <c r="AN628" s="23"/>
      <c r="AO628" s="24"/>
      <c r="AP628" s="25"/>
      <c r="AQ628" s="26"/>
      <c r="AR628" s="27"/>
      <c r="AS628" s="192"/>
      <c r="AT628" s="111"/>
      <c r="AU628" s="193"/>
      <c r="AV628" s="140"/>
      <c r="AW628" s="118"/>
      <c r="AX628" s="141"/>
      <c r="AY628" s="149"/>
      <c r="AZ628" s="121"/>
      <c r="BA628" s="150"/>
      <c r="BB628" s="158"/>
      <c r="BC628" s="124"/>
      <c r="BD628" s="159"/>
      <c r="BE628" s="167"/>
      <c r="BF628" s="85"/>
      <c r="BG628" s="168"/>
      <c r="BH628" s="175"/>
      <c r="BI628" s="127"/>
      <c r="BJ628" s="176"/>
      <c r="BK628" s="184"/>
      <c r="BL628" s="130"/>
      <c r="BM628" s="185"/>
      <c r="BN628" s="69"/>
      <c r="BO628" s="85"/>
      <c r="BP628" s="85"/>
      <c r="BQ628" s="85"/>
      <c r="BR628" s="85"/>
      <c r="BS628" s="85"/>
      <c r="BT628" s="85"/>
      <c r="BU628" s="87"/>
      <c r="BV628" s="87"/>
      <c r="BW628" s="87"/>
      <c r="BX628" s="87"/>
      <c r="BY628" s="87"/>
      <c r="BZ628" s="87"/>
      <c r="CA628" s="90"/>
      <c r="CB628" s="90"/>
      <c r="CC628" s="90"/>
      <c r="CD628" s="90"/>
      <c r="CE628" s="90"/>
      <c r="CF628" s="90"/>
      <c r="CG628" s="85"/>
      <c r="CH628" s="85"/>
      <c r="CI628" s="85"/>
      <c r="CJ628" s="85"/>
      <c r="CK628" s="85"/>
      <c r="CL628" s="87"/>
      <c r="CM628" s="87"/>
      <c r="CN628" s="87"/>
      <c r="CO628" s="87"/>
      <c r="CP628" s="90"/>
      <c r="CQ628" s="90"/>
      <c r="CR628" s="90"/>
      <c r="CS628" s="90"/>
      <c r="CT628" s="85"/>
      <c r="CU628" s="85"/>
      <c r="CV628" s="85"/>
      <c r="CW628" s="85"/>
      <c r="CX628" s="85"/>
      <c r="CY628" s="85"/>
      <c r="CZ628" s="85"/>
      <c r="DA628" s="33">
        <f t="shared" si="9"/>
        <v>0</v>
      </c>
    </row>
    <row r="629" spans="36:105" ht="19" x14ac:dyDescent="0.25">
      <c r="AJ629" s="63"/>
      <c r="AK629" s="20"/>
      <c r="AL629" s="21"/>
      <c r="AM629" s="22"/>
      <c r="AN629" s="23"/>
      <c r="AO629" s="24"/>
      <c r="AP629" s="25"/>
      <c r="AQ629" s="26"/>
      <c r="AR629" s="27"/>
      <c r="AS629" s="192"/>
      <c r="AT629" s="111"/>
      <c r="AU629" s="193"/>
      <c r="AV629" s="140"/>
      <c r="AW629" s="118"/>
      <c r="AX629" s="141"/>
      <c r="AY629" s="149"/>
      <c r="AZ629" s="121"/>
      <c r="BA629" s="150"/>
      <c r="BB629" s="158"/>
      <c r="BC629" s="124"/>
      <c r="BD629" s="159"/>
      <c r="BE629" s="167"/>
      <c r="BF629" s="85"/>
      <c r="BG629" s="168"/>
      <c r="BH629" s="175"/>
      <c r="BI629" s="127"/>
      <c r="BJ629" s="176"/>
      <c r="BK629" s="184"/>
      <c r="BL629" s="130"/>
      <c r="BM629" s="185"/>
      <c r="BN629" s="69"/>
      <c r="BO629" s="85"/>
      <c r="BP629" s="85"/>
      <c r="BQ629" s="85"/>
      <c r="BR629" s="85"/>
      <c r="BS629" s="85"/>
      <c r="BT629" s="85"/>
      <c r="BU629" s="87"/>
      <c r="BV629" s="87"/>
      <c r="BW629" s="87"/>
      <c r="BX629" s="87"/>
      <c r="BY629" s="87"/>
      <c r="BZ629" s="87"/>
      <c r="CA629" s="90"/>
      <c r="CB629" s="90"/>
      <c r="CC629" s="90"/>
      <c r="CD629" s="90"/>
      <c r="CE629" s="90"/>
      <c r="CF629" s="90"/>
      <c r="CG629" s="85"/>
      <c r="CH629" s="85"/>
      <c r="CI629" s="85"/>
      <c r="CJ629" s="85"/>
      <c r="CK629" s="85"/>
      <c r="CL629" s="87"/>
      <c r="CM629" s="87"/>
      <c r="CN629" s="87"/>
      <c r="CO629" s="87"/>
      <c r="CP629" s="90"/>
      <c r="CQ629" s="90"/>
      <c r="CR629" s="90"/>
      <c r="CS629" s="90"/>
      <c r="CT629" s="85"/>
      <c r="CU629" s="85"/>
      <c r="CV629" s="85"/>
      <c r="CW629" s="85"/>
      <c r="CX629" s="85"/>
      <c r="CY629" s="85"/>
      <c r="CZ629" s="85"/>
      <c r="DA629" s="33">
        <f t="shared" si="9"/>
        <v>0</v>
      </c>
    </row>
    <row r="630" spans="36:105" ht="19" x14ac:dyDescent="0.25">
      <c r="AJ630" s="63"/>
      <c r="AK630" s="20"/>
      <c r="AL630" s="21"/>
      <c r="AM630" s="22"/>
      <c r="AN630" s="23"/>
      <c r="AO630" s="24"/>
      <c r="AP630" s="25"/>
      <c r="AQ630" s="26"/>
      <c r="AR630" s="27"/>
      <c r="AS630" s="192"/>
      <c r="AT630" s="111"/>
      <c r="AU630" s="193"/>
      <c r="AV630" s="140"/>
      <c r="AW630" s="118"/>
      <c r="AX630" s="141"/>
      <c r="AY630" s="149"/>
      <c r="AZ630" s="121"/>
      <c r="BA630" s="150"/>
      <c r="BB630" s="158"/>
      <c r="BC630" s="124"/>
      <c r="BD630" s="159"/>
      <c r="BE630" s="167"/>
      <c r="BF630" s="85"/>
      <c r="BG630" s="168"/>
      <c r="BH630" s="175"/>
      <c r="BI630" s="127"/>
      <c r="BJ630" s="176"/>
      <c r="BK630" s="184"/>
      <c r="BL630" s="130"/>
      <c r="BM630" s="185"/>
      <c r="BN630" s="69"/>
      <c r="BO630" s="85"/>
      <c r="BP630" s="85"/>
      <c r="BQ630" s="85"/>
      <c r="BR630" s="85"/>
      <c r="BS630" s="85"/>
      <c r="BT630" s="85"/>
      <c r="BU630" s="87"/>
      <c r="BV630" s="87"/>
      <c r="BW630" s="87"/>
      <c r="BX630" s="87"/>
      <c r="BY630" s="87"/>
      <c r="BZ630" s="87"/>
      <c r="CA630" s="90"/>
      <c r="CB630" s="90"/>
      <c r="CC630" s="90"/>
      <c r="CD630" s="90"/>
      <c r="CE630" s="90"/>
      <c r="CF630" s="90"/>
      <c r="CG630" s="85"/>
      <c r="CH630" s="85"/>
      <c r="CI630" s="85"/>
      <c r="CJ630" s="85"/>
      <c r="CK630" s="85"/>
      <c r="CL630" s="87"/>
      <c r="CM630" s="87"/>
      <c r="CN630" s="87"/>
      <c r="CO630" s="87"/>
      <c r="CP630" s="90"/>
      <c r="CQ630" s="90"/>
      <c r="CR630" s="90"/>
      <c r="CS630" s="90"/>
      <c r="CT630" s="85"/>
      <c r="CU630" s="85"/>
      <c r="CV630" s="85"/>
      <c r="CW630" s="85"/>
      <c r="CX630" s="85"/>
      <c r="CY630" s="85"/>
      <c r="CZ630" s="85"/>
      <c r="DA630" s="33">
        <f t="shared" si="9"/>
        <v>0</v>
      </c>
    </row>
    <row r="631" spans="36:105" ht="19" x14ac:dyDescent="0.25">
      <c r="AJ631" s="63"/>
      <c r="AK631" s="20"/>
      <c r="AL631" s="21"/>
      <c r="AM631" s="22"/>
      <c r="AN631" s="23"/>
      <c r="AO631" s="24"/>
      <c r="AP631" s="25"/>
      <c r="AQ631" s="26"/>
      <c r="AR631" s="27"/>
      <c r="AS631" s="192"/>
      <c r="AT631" s="111"/>
      <c r="AU631" s="193"/>
      <c r="AV631" s="140"/>
      <c r="AW631" s="118"/>
      <c r="AX631" s="141"/>
      <c r="AY631" s="149"/>
      <c r="AZ631" s="121"/>
      <c r="BA631" s="150"/>
      <c r="BB631" s="158"/>
      <c r="BC631" s="124"/>
      <c r="BD631" s="159"/>
      <c r="BE631" s="167"/>
      <c r="BF631" s="85"/>
      <c r="BG631" s="168"/>
      <c r="BH631" s="175"/>
      <c r="BI631" s="127"/>
      <c r="BJ631" s="176"/>
      <c r="BK631" s="184"/>
      <c r="BL631" s="130"/>
      <c r="BM631" s="185"/>
      <c r="BN631" s="69"/>
      <c r="BO631" s="85"/>
      <c r="BP631" s="85"/>
      <c r="BQ631" s="85"/>
      <c r="BR631" s="85"/>
      <c r="BS631" s="85"/>
      <c r="BT631" s="85"/>
      <c r="BU631" s="87"/>
      <c r="BV631" s="87"/>
      <c r="BW631" s="87"/>
      <c r="BX631" s="87"/>
      <c r="BY631" s="87"/>
      <c r="BZ631" s="87"/>
      <c r="CA631" s="90"/>
      <c r="CB631" s="90"/>
      <c r="CC631" s="90"/>
      <c r="CD631" s="90"/>
      <c r="CE631" s="90"/>
      <c r="CF631" s="90"/>
      <c r="CG631" s="85"/>
      <c r="CH631" s="85"/>
      <c r="CI631" s="85"/>
      <c r="CJ631" s="85"/>
      <c r="CK631" s="85"/>
      <c r="CL631" s="87"/>
      <c r="CM631" s="87"/>
      <c r="CN631" s="87"/>
      <c r="CO631" s="87"/>
      <c r="CP631" s="90"/>
      <c r="CQ631" s="90"/>
      <c r="CR631" s="90"/>
      <c r="CS631" s="90"/>
      <c r="CT631" s="85"/>
      <c r="CU631" s="85"/>
      <c r="CV631" s="85"/>
      <c r="CW631" s="85"/>
      <c r="CX631" s="85"/>
      <c r="CY631" s="85"/>
      <c r="CZ631" s="85"/>
      <c r="DA631" s="33">
        <f t="shared" si="9"/>
        <v>0</v>
      </c>
    </row>
    <row r="632" spans="36:105" ht="19" x14ac:dyDescent="0.25">
      <c r="AJ632" s="63"/>
      <c r="AK632" s="20"/>
      <c r="AL632" s="21"/>
      <c r="AM632" s="22"/>
      <c r="AN632" s="23"/>
      <c r="AO632" s="24"/>
      <c r="AP632" s="25"/>
      <c r="AQ632" s="26"/>
      <c r="AR632" s="27"/>
      <c r="AS632" s="192"/>
      <c r="AT632" s="111"/>
      <c r="AU632" s="193"/>
      <c r="AV632" s="140"/>
      <c r="AW632" s="118"/>
      <c r="AX632" s="141"/>
      <c r="AY632" s="149"/>
      <c r="AZ632" s="121"/>
      <c r="BA632" s="150"/>
      <c r="BB632" s="158"/>
      <c r="BC632" s="124"/>
      <c r="BD632" s="159"/>
      <c r="BE632" s="167"/>
      <c r="BF632" s="85"/>
      <c r="BG632" s="168"/>
      <c r="BH632" s="175"/>
      <c r="BI632" s="127"/>
      <c r="BJ632" s="176"/>
      <c r="BK632" s="184"/>
      <c r="BL632" s="130"/>
      <c r="BM632" s="185"/>
      <c r="BN632" s="69"/>
      <c r="BO632" s="85"/>
      <c r="BP632" s="85"/>
      <c r="BQ632" s="85"/>
      <c r="BR632" s="85"/>
      <c r="BS632" s="85"/>
      <c r="BT632" s="85"/>
      <c r="BU632" s="87"/>
      <c r="BV632" s="87"/>
      <c r="BW632" s="87"/>
      <c r="BX632" s="87"/>
      <c r="BY632" s="87"/>
      <c r="BZ632" s="87"/>
      <c r="CA632" s="90"/>
      <c r="CB632" s="90"/>
      <c r="CC632" s="90"/>
      <c r="CD632" s="90"/>
      <c r="CE632" s="90"/>
      <c r="CF632" s="90"/>
      <c r="CG632" s="85"/>
      <c r="CH632" s="85"/>
      <c r="CI632" s="85"/>
      <c r="CJ632" s="85"/>
      <c r="CK632" s="85"/>
      <c r="CL632" s="87"/>
      <c r="CM632" s="87"/>
      <c r="CN632" s="87"/>
      <c r="CO632" s="87"/>
      <c r="CP632" s="90"/>
      <c r="CQ632" s="90"/>
      <c r="CR632" s="90"/>
      <c r="CS632" s="90"/>
      <c r="CT632" s="85"/>
      <c r="CU632" s="85"/>
      <c r="CV632" s="85"/>
      <c r="CW632" s="85"/>
      <c r="CX632" s="85"/>
      <c r="CY632" s="85"/>
      <c r="CZ632" s="85"/>
      <c r="DA632" s="33">
        <f t="shared" si="9"/>
        <v>0</v>
      </c>
    </row>
    <row r="633" spans="36:105" ht="19" x14ac:dyDescent="0.25">
      <c r="AJ633" s="63"/>
      <c r="AK633" s="20"/>
      <c r="AL633" s="21"/>
      <c r="AM633" s="22"/>
      <c r="AN633" s="23"/>
      <c r="AO633" s="24"/>
      <c r="AP633" s="25"/>
      <c r="AQ633" s="26"/>
      <c r="AR633" s="27"/>
      <c r="AS633" s="192"/>
      <c r="AT633" s="111"/>
      <c r="AU633" s="193"/>
      <c r="AV633" s="140"/>
      <c r="AW633" s="118"/>
      <c r="AX633" s="141"/>
      <c r="AY633" s="149"/>
      <c r="AZ633" s="121"/>
      <c r="BA633" s="150"/>
      <c r="BB633" s="158"/>
      <c r="BC633" s="124"/>
      <c r="BD633" s="159"/>
      <c r="BE633" s="167"/>
      <c r="BF633" s="85"/>
      <c r="BG633" s="168"/>
      <c r="BH633" s="175"/>
      <c r="BI633" s="127"/>
      <c r="BJ633" s="176"/>
      <c r="BK633" s="184"/>
      <c r="BL633" s="130"/>
      <c r="BM633" s="185"/>
      <c r="BN633" s="69"/>
      <c r="BO633" s="85"/>
      <c r="BP633" s="85"/>
      <c r="BQ633" s="85"/>
      <c r="BR633" s="85"/>
      <c r="BS633" s="85"/>
      <c r="BT633" s="85"/>
      <c r="BU633" s="87"/>
      <c r="BV633" s="87"/>
      <c r="BW633" s="87"/>
      <c r="BX633" s="87"/>
      <c r="BY633" s="87"/>
      <c r="BZ633" s="87"/>
      <c r="CA633" s="90"/>
      <c r="CB633" s="90"/>
      <c r="CC633" s="90"/>
      <c r="CD633" s="90"/>
      <c r="CE633" s="90"/>
      <c r="CF633" s="90"/>
      <c r="CG633" s="85"/>
      <c r="CH633" s="85"/>
      <c r="CI633" s="85"/>
      <c r="CJ633" s="85"/>
      <c r="CK633" s="85"/>
      <c r="CL633" s="87"/>
      <c r="CM633" s="87"/>
      <c r="CN633" s="87"/>
      <c r="CO633" s="87"/>
      <c r="CP633" s="90"/>
      <c r="CQ633" s="90"/>
      <c r="CR633" s="90"/>
      <c r="CS633" s="90"/>
      <c r="CT633" s="85"/>
      <c r="CU633" s="85"/>
      <c r="CV633" s="85"/>
      <c r="CW633" s="85"/>
      <c r="CX633" s="85"/>
      <c r="CY633" s="85"/>
      <c r="CZ633" s="85"/>
      <c r="DA633" s="33">
        <f t="shared" si="9"/>
        <v>0</v>
      </c>
    </row>
    <row r="634" spans="36:105" ht="19" x14ac:dyDescent="0.25">
      <c r="AJ634" s="63"/>
      <c r="AK634" s="20"/>
      <c r="AL634" s="21"/>
      <c r="AM634" s="22"/>
      <c r="AN634" s="23"/>
      <c r="AO634" s="24"/>
      <c r="AP634" s="25"/>
      <c r="AQ634" s="26"/>
      <c r="AR634" s="27"/>
      <c r="AS634" s="192"/>
      <c r="AT634" s="111"/>
      <c r="AU634" s="193"/>
      <c r="AV634" s="140"/>
      <c r="AW634" s="118"/>
      <c r="AX634" s="141"/>
      <c r="AY634" s="149"/>
      <c r="AZ634" s="121"/>
      <c r="BA634" s="150"/>
      <c r="BB634" s="158"/>
      <c r="BC634" s="124"/>
      <c r="BD634" s="159"/>
      <c r="BE634" s="167"/>
      <c r="BF634" s="85"/>
      <c r="BG634" s="168"/>
      <c r="BH634" s="175"/>
      <c r="BI634" s="127"/>
      <c r="BJ634" s="176"/>
      <c r="BK634" s="184"/>
      <c r="BL634" s="130"/>
      <c r="BM634" s="185"/>
      <c r="BN634" s="69"/>
      <c r="BO634" s="85"/>
      <c r="BP634" s="85"/>
      <c r="BQ634" s="85"/>
      <c r="BR634" s="85"/>
      <c r="BS634" s="85"/>
      <c r="BT634" s="85"/>
      <c r="BU634" s="87"/>
      <c r="BV634" s="87"/>
      <c r="BW634" s="87"/>
      <c r="BX634" s="87"/>
      <c r="BY634" s="87"/>
      <c r="BZ634" s="87"/>
      <c r="CA634" s="90"/>
      <c r="CB634" s="90"/>
      <c r="CC634" s="90"/>
      <c r="CD634" s="90"/>
      <c r="CE634" s="90"/>
      <c r="CF634" s="90"/>
      <c r="CG634" s="85"/>
      <c r="CH634" s="85"/>
      <c r="CI634" s="85"/>
      <c r="CJ634" s="85"/>
      <c r="CK634" s="85"/>
      <c r="CL634" s="87"/>
      <c r="CM634" s="87"/>
      <c r="CN634" s="87"/>
      <c r="CO634" s="87"/>
      <c r="CP634" s="90"/>
      <c r="CQ634" s="90"/>
      <c r="CR634" s="90"/>
      <c r="CS634" s="90"/>
      <c r="CT634" s="85"/>
      <c r="CU634" s="85"/>
      <c r="CV634" s="85"/>
      <c r="CW634" s="85"/>
      <c r="CX634" s="85"/>
      <c r="CY634" s="85"/>
      <c r="CZ634" s="85"/>
      <c r="DA634" s="33">
        <f t="shared" si="9"/>
        <v>0</v>
      </c>
    </row>
    <row r="635" spans="36:105" ht="19" x14ac:dyDescent="0.25">
      <c r="AJ635" s="63"/>
      <c r="AK635" s="20"/>
      <c r="AL635" s="21"/>
      <c r="AM635" s="22"/>
      <c r="AN635" s="23"/>
      <c r="AO635" s="24"/>
      <c r="AP635" s="25"/>
      <c r="AQ635" s="26"/>
      <c r="AR635" s="27"/>
      <c r="AS635" s="192"/>
      <c r="AT635" s="111"/>
      <c r="AU635" s="193"/>
      <c r="AV635" s="140"/>
      <c r="AW635" s="118"/>
      <c r="AX635" s="141"/>
      <c r="AY635" s="149"/>
      <c r="AZ635" s="121"/>
      <c r="BA635" s="150"/>
      <c r="BB635" s="158"/>
      <c r="BC635" s="124"/>
      <c r="BD635" s="159"/>
      <c r="BE635" s="167"/>
      <c r="BF635" s="85"/>
      <c r="BG635" s="168"/>
      <c r="BH635" s="175"/>
      <c r="BI635" s="127"/>
      <c r="BJ635" s="176"/>
      <c r="BK635" s="184"/>
      <c r="BL635" s="130"/>
      <c r="BM635" s="185"/>
      <c r="BN635" s="69"/>
      <c r="BO635" s="85"/>
      <c r="BP635" s="85"/>
      <c r="BQ635" s="85"/>
      <c r="BR635" s="85"/>
      <c r="BS635" s="85"/>
      <c r="BT635" s="85"/>
      <c r="BU635" s="87"/>
      <c r="BV635" s="87"/>
      <c r="BW635" s="87"/>
      <c r="BX635" s="87"/>
      <c r="BY635" s="87"/>
      <c r="BZ635" s="87"/>
      <c r="CA635" s="90"/>
      <c r="CB635" s="90"/>
      <c r="CC635" s="90"/>
      <c r="CD635" s="90"/>
      <c r="CE635" s="90"/>
      <c r="CF635" s="90"/>
      <c r="CG635" s="85"/>
      <c r="CH635" s="85"/>
      <c r="CI635" s="85"/>
      <c r="CJ635" s="85"/>
      <c r="CK635" s="85"/>
      <c r="CL635" s="87"/>
      <c r="CM635" s="87"/>
      <c r="CN635" s="87"/>
      <c r="CO635" s="87"/>
      <c r="CP635" s="90"/>
      <c r="CQ635" s="90"/>
      <c r="CR635" s="90"/>
      <c r="CS635" s="90"/>
      <c r="CT635" s="85"/>
      <c r="CU635" s="85"/>
      <c r="CV635" s="85"/>
      <c r="CW635" s="85"/>
      <c r="CX635" s="85"/>
      <c r="CY635" s="85"/>
      <c r="CZ635" s="85"/>
      <c r="DA635" s="33">
        <f t="shared" si="9"/>
        <v>0</v>
      </c>
    </row>
    <row r="636" spans="36:105" ht="19" x14ac:dyDescent="0.25">
      <c r="AJ636" s="63"/>
      <c r="AK636" s="20"/>
      <c r="AL636" s="21"/>
      <c r="AM636" s="22"/>
      <c r="AN636" s="23"/>
      <c r="AO636" s="24"/>
      <c r="AP636" s="25"/>
      <c r="AQ636" s="26"/>
      <c r="AR636" s="27"/>
      <c r="AS636" s="192"/>
      <c r="AT636" s="111"/>
      <c r="AU636" s="193"/>
      <c r="AV636" s="140"/>
      <c r="AW636" s="118"/>
      <c r="AX636" s="141"/>
      <c r="AY636" s="149"/>
      <c r="AZ636" s="121"/>
      <c r="BA636" s="150"/>
      <c r="BB636" s="158"/>
      <c r="BC636" s="124"/>
      <c r="BD636" s="159"/>
      <c r="BE636" s="167"/>
      <c r="BF636" s="85"/>
      <c r="BG636" s="168"/>
      <c r="BH636" s="175"/>
      <c r="BI636" s="127"/>
      <c r="BJ636" s="176"/>
      <c r="BK636" s="184"/>
      <c r="BL636" s="130"/>
      <c r="BM636" s="185"/>
      <c r="BN636" s="69"/>
      <c r="BO636" s="85"/>
      <c r="BP636" s="85"/>
      <c r="BQ636" s="85"/>
      <c r="BR636" s="85"/>
      <c r="BS636" s="85"/>
      <c r="BT636" s="85"/>
      <c r="BU636" s="87"/>
      <c r="BV636" s="87"/>
      <c r="BW636" s="87"/>
      <c r="BX636" s="87"/>
      <c r="BY636" s="87"/>
      <c r="BZ636" s="87"/>
      <c r="CA636" s="90"/>
      <c r="CB636" s="90"/>
      <c r="CC636" s="90"/>
      <c r="CD636" s="90"/>
      <c r="CE636" s="90"/>
      <c r="CF636" s="90"/>
      <c r="CG636" s="85"/>
      <c r="CH636" s="85"/>
      <c r="CI636" s="85"/>
      <c r="CJ636" s="85"/>
      <c r="CK636" s="85"/>
      <c r="CL636" s="87"/>
      <c r="CM636" s="87"/>
      <c r="CN636" s="87"/>
      <c r="CO636" s="87"/>
      <c r="CP636" s="90"/>
      <c r="CQ636" s="90"/>
      <c r="CR636" s="90"/>
      <c r="CS636" s="90"/>
      <c r="CT636" s="85"/>
      <c r="CU636" s="85"/>
      <c r="CV636" s="85"/>
      <c r="CW636" s="85"/>
      <c r="CX636" s="85"/>
      <c r="CY636" s="85"/>
      <c r="CZ636" s="85"/>
      <c r="DA636" s="33">
        <f t="shared" si="9"/>
        <v>0</v>
      </c>
    </row>
    <row r="637" spans="36:105" ht="19" x14ac:dyDescent="0.25">
      <c r="AJ637" s="63"/>
      <c r="AK637" s="20"/>
      <c r="AL637" s="21"/>
      <c r="AM637" s="22"/>
      <c r="AN637" s="23"/>
      <c r="AO637" s="24"/>
      <c r="AP637" s="25"/>
      <c r="AQ637" s="26"/>
      <c r="AR637" s="27"/>
      <c r="AS637" s="192"/>
      <c r="AT637" s="111"/>
      <c r="AU637" s="193"/>
      <c r="AV637" s="140"/>
      <c r="AW637" s="118"/>
      <c r="AX637" s="141"/>
      <c r="AY637" s="149"/>
      <c r="AZ637" s="121"/>
      <c r="BA637" s="150"/>
      <c r="BB637" s="158"/>
      <c r="BC637" s="124"/>
      <c r="BD637" s="159"/>
      <c r="BE637" s="167"/>
      <c r="BF637" s="85"/>
      <c r="BG637" s="168"/>
      <c r="BH637" s="175"/>
      <c r="BI637" s="127"/>
      <c r="BJ637" s="176"/>
      <c r="BK637" s="184"/>
      <c r="BL637" s="130"/>
      <c r="BM637" s="185"/>
      <c r="BN637" s="69"/>
      <c r="BO637" s="85"/>
      <c r="BP637" s="85"/>
      <c r="BQ637" s="85"/>
      <c r="BR637" s="85"/>
      <c r="BS637" s="85"/>
      <c r="BT637" s="85"/>
      <c r="BU637" s="87"/>
      <c r="BV637" s="87"/>
      <c r="BW637" s="87"/>
      <c r="BX637" s="87"/>
      <c r="BY637" s="87"/>
      <c r="BZ637" s="87"/>
      <c r="CA637" s="90"/>
      <c r="CB637" s="90"/>
      <c r="CC637" s="90"/>
      <c r="CD637" s="90"/>
      <c r="CE637" s="90"/>
      <c r="CF637" s="90"/>
      <c r="CG637" s="85"/>
      <c r="CH637" s="85"/>
      <c r="CI637" s="85"/>
      <c r="CJ637" s="85"/>
      <c r="CK637" s="85"/>
      <c r="CL637" s="87"/>
      <c r="CM637" s="87"/>
      <c r="CN637" s="87"/>
      <c r="CO637" s="87"/>
      <c r="CP637" s="90"/>
      <c r="CQ637" s="90"/>
      <c r="CR637" s="90"/>
      <c r="CS637" s="90"/>
      <c r="CT637" s="85"/>
      <c r="CU637" s="85"/>
      <c r="CV637" s="85"/>
      <c r="CW637" s="85"/>
      <c r="CX637" s="85"/>
      <c r="CY637" s="85"/>
      <c r="CZ637" s="85"/>
      <c r="DA637" s="33">
        <f t="shared" si="9"/>
        <v>0</v>
      </c>
    </row>
    <row r="638" spans="36:105" ht="19" x14ac:dyDescent="0.25">
      <c r="AJ638" s="63"/>
      <c r="AK638" s="20"/>
      <c r="AL638" s="21"/>
      <c r="AM638" s="22"/>
      <c r="AN638" s="23"/>
      <c r="AO638" s="24"/>
      <c r="AP638" s="25"/>
      <c r="AQ638" s="26"/>
      <c r="AR638" s="27"/>
      <c r="AS638" s="192"/>
      <c r="AT638" s="111"/>
      <c r="AU638" s="193"/>
      <c r="AV638" s="140"/>
      <c r="AW638" s="118"/>
      <c r="AX638" s="141"/>
      <c r="AY638" s="149"/>
      <c r="AZ638" s="121"/>
      <c r="BA638" s="150"/>
      <c r="BB638" s="158"/>
      <c r="BC638" s="124"/>
      <c r="BD638" s="159"/>
      <c r="BE638" s="167"/>
      <c r="BF638" s="85"/>
      <c r="BG638" s="168"/>
      <c r="BH638" s="175"/>
      <c r="BI638" s="127"/>
      <c r="BJ638" s="176"/>
      <c r="BK638" s="184"/>
      <c r="BL638" s="130"/>
      <c r="BM638" s="185"/>
      <c r="BN638" s="69"/>
      <c r="BO638" s="85"/>
      <c r="BP638" s="85"/>
      <c r="BQ638" s="85"/>
      <c r="BR638" s="85"/>
      <c r="BS638" s="85"/>
      <c r="BT638" s="85"/>
      <c r="BU638" s="87"/>
      <c r="BV638" s="87"/>
      <c r="BW638" s="87"/>
      <c r="BX638" s="87"/>
      <c r="BY638" s="87"/>
      <c r="BZ638" s="87"/>
      <c r="CA638" s="90"/>
      <c r="CB638" s="90"/>
      <c r="CC638" s="90"/>
      <c r="CD638" s="90"/>
      <c r="CE638" s="90"/>
      <c r="CF638" s="90"/>
      <c r="CG638" s="85"/>
      <c r="CH638" s="85"/>
      <c r="CI638" s="85"/>
      <c r="CJ638" s="85"/>
      <c r="CK638" s="85"/>
      <c r="CL638" s="87"/>
      <c r="CM638" s="87"/>
      <c r="CN638" s="87"/>
      <c r="CO638" s="87"/>
      <c r="CP638" s="90"/>
      <c r="CQ638" s="90"/>
      <c r="CR638" s="90"/>
      <c r="CS638" s="90"/>
      <c r="CT638" s="85"/>
      <c r="CU638" s="85"/>
      <c r="CV638" s="85"/>
      <c r="CW638" s="85"/>
      <c r="CX638" s="85"/>
      <c r="CY638" s="85"/>
      <c r="CZ638" s="85"/>
      <c r="DA638" s="33">
        <f t="shared" si="9"/>
        <v>0</v>
      </c>
    </row>
    <row r="639" spans="36:105" ht="19" x14ac:dyDescent="0.25">
      <c r="AJ639" s="63"/>
      <c r="AK639" s="20"/>
      <c r="AL639" s="21"/>
      <c r="AM639" s="22"/>
      <c r="AN639" s="23"/>
      <c r="AO639" s="24"/>
      <c r="AP639" s="25"/>
      <c r="AQ639" s="26"/>
      <c r="AR639" s="27"/>
      <c r="AS639" s="192"/>
      <c r="AT639" s="111"/>
      <c r="AU639" s="193"/>
      <c r="AV639" s="140"/>
      <c r="AW639" s="118"/>
      <c r="AX639" s="141"/>
      <c r="AY639" s="149"/>
      <c r="AZ639" s="121"/>
      <c r="BA639" s="150"/>
      <c r="BB639" s="158"/>
      <c r="BC639" s="124"/>
      <c r="BD639" s="159"/>
      <c r="BE639" s="167"/>
      <c r="BF639" s="85"/>
      <c r="BG639" s="168"/>
      <c r="BH639" s="175"/>
      <c r="BI639" s="127"/>
      <c r="BJ639" s="176"/>
      <c r="BK639" s="184"/>
      <c r="BL639" s="130"/>
      <c r="BM639" s="185"/>
      <c r="BN639" s="69"/>
      <c r="BO639" s="85"/>
      <c r="BP639" s="85"/>
      <c r="BQ639" s="85"/>
      <c r="BR639" s="85"/>
      <c r="BS639" s="85"/>
      <c r="BT639" s="85"/>
      <c r="BU639" s="87"/>
      <c r="BV639" s="87"/>
      <c r="BW639" s="87"/>
      <c r="BX639" s="87"/>
      <c r="BY639" s="87"/>
      <c r="BZ639" s="87"/>
      <c r="CA639" s="90"/>
      <c r="CB639" s="90"/>
      <c r="CC639" s="90"/>
      <c r="CD639" s="90"/>
      <c r="CE639" s="90"/>
      <c r="CF639" s="90"/>
      <c r="CG639" s="85"/>
      <c r="CH639" s="85"/>
      <c r="CI639" s="85"/>
      <c r="CJ639" s="85"/>
      <c r="CK639" s="85"/>
      <c r="CL639" s="87"/>
      <c r="CM639" s="87"/>
      <c r="CN639" s="87"/>
      <c r="CO639" s="87"/>
      <c r="CP639" s="90"/>
      <c r="CQ639" s="90"/>
      <c r="CR639" s="90"/>
      <c r="CS639" s="90"/>
      <c r="CT639" s="85"/>
      <c r="CU639" s="85"/>
      <c r="CV639" s="85"/>
      <c r="CW639" s="85"/>
      <c r="CX639" s="85"/>
      <c r="CY639" s="85"/>
      <c r="CZ639" s="85"/>
      <c r="DA639" s="33">
        <f t="shared" si="9"/>
        <v>0</v>
      </c>
    </row>
    <row r="640" spans="36:105" ht="19" x14ac:dyDescent="0.25">
      <c r="AJ640" s="63"/>
      <c r="AK640" s="20"/>
      <c r="AL640" s="21"/>
      <c r="AM640" s="22"/>
      <c r="AN640" s="23"/>
      <c r="AO640" s="24"/>
      <c r="AP640" s="25"/>
      <c r="AQ640" s="26"/>
      <c r="AR640" s="27"/>
      <c r="AS640" s="192"/>
      <c r="AT640" s="111"/>
      <c r="AU640" s="193"/>
      <c r="AV640" s="140"/>
      <c r="AW640" s="118"/>
      <c r="AX640" s="141"/>
      <c r="AY640" s="149"/>
      <c r="AZ640" s="121"/>
      <c r="BA640" s="150"/>
      <c r="BB640" s="158"/>
      <c r="BC640" s="124"/>
      <c r="BD640" s="159"/>
      <c r="BE640" s="167"/>
      <c r="BF640" s="85"/>
      <c r="BG640" s="168"/>
      <c r="BH640" s="175"/>
      <c r="BI640" s="127"/>
      <c r="BJ640" s="176"/>
      <c r="BK640" s="184"/>
      <c r="BL640" s="130"/>
      <c r="BM640" s="185"/>
      <c r="BN640" s="69"/>
      <c r="BO640" s="85"/>
      <c r="BP640" s="85"/>
      <c r="BQ640" s="85"/>
      <c r="BR640" s="85"/>
      <c r="BS640" s="85"/>
      <c r="BT640" s="85"/>
      <c r="BU640" s="87"/>
      <c r="BV640" s="87"/>
      <c r="BW640" s="87"/>
      <c r="BX640" s="87"/>
      <c r="BY640" s="87"/>
      <c r="BZ640" s="87"/>
      <c r="CA640" s="90"/>
      <c r="CB640" s="90"/>
      <c r="CC640" s="90"/>
      <c r="CD640" s="90"/>
      <c r="CE640" s="90"/>
      <c r="CF640" s="90"/>
      <c r="CG640" s="85"/>
      <c r="CH640" s="85"/>
      <c r="CI640" s="85"/>
      <c r="CJ640" s="85"/>
      <c r="CK640" s="85"/>
      <c r="CL640" s="87"/>
      <c r="CM640" s="87"/>
      <c r="CN640" s="87"/>
      <c r="CO640" s="87"/>
      <c r="CP640" s="90"/>
      <c r="CQ640" s="90"/>
      <c r="CR640" s="90"/>
      <c r="CS640" s="90"/>
      <c r="CT640" s="85"/>
      <c r="CU640" s="85"/>
      <c r="CV640" s="85"/>
      <c r="CW640" s="85"/>
      <c r="CX640" s="85"/>
      <c r="CY640" s="85"/>
      <c r="CZ640" s="85"/>
      <c r="DA640" s="33">
        <f t="shared" si="9"/>
        <v>0</v>
      </c>
    </row>
    <row r="641" spans="36:105" ht="19" x14ac:dyDescent="0.25">
      <c r="AJ641" s="63"/>
      <c r="AK641" s="20"/>
      <c r="AL641" s="21"/>
      <c r="AM641" s="22"/>
      <c r="AN641" s="23"/>
      <c r="AO641" s="24"/>
      <c r="AP641" s="25"/>
      <c r="AQ641" s="26"/>
      <c r="AR641" s="27"/>
      <c r="AS641" s="192"/>
      <c r="AT641" s="111"/>
      <c r="AU641" s="193"/>
      <c r="AV641" s="140"/>
      <c r="AW641" s="118"/>
      <c r="AX641" s="141"/>
      <c r="AY641" s="149"/>
      <c r="AZ641" s="121"/>
      <c r="BA641" s="150"/>
      <c r="BB641" s="158"/>
      <c r="BC641" s="124"/>
      <c r="BD641" s="159"/>
      <c r="BE641" s="167"/>
      <c r="BF641" s="85"/>
      <c r="BG641" s="168"/>
      <c r="BH641" s="175"/>
      <c r="BI641" s="127"/>
      <c r="BJ641" s="176"/>
      <c r="BK641" s="184"/>
      <c r="BL641" s="130"/>
      <c r="BM641" s="185"/>
      <c r="BN641" s="69"/>
      <c r="BO641" s="85"/>
      <c r="BP641" s="85"/>
      <c r="BQ641" s="85"/>
      <c r="BR641" s="85"/>
      <c r="BS641" s="85"/>
      <c r="BT641" s="85"/>
      <c r="BU641" s="87"/>
      <c r="BV641" s="87"/>
      <c r="BW641" s="87"/>
      <c r="BX641" s="87"/>
      <c r="BY641" s="87"/>
      <c r="BZ641" s="87"/>
      <c r="CA641" s="90"/>
      <c r="CB641" s="90"/>
      <c r="CC641" s="90"/>
      <c r="CD641" s="90"/>
      <c r="CE641" s="90"/>
      <c r="CF641" s="90"/>
      <c r="CG641" s="85"/>
      <c r="CH641" s="85"/>
      <c r="CI641" s="85"/>
      <c r="CJ641" s="85"/>
      <c r="CK641" s="85"/>
      <c r="CL641" s="87"/>
      <c r="CM641" s="87"/>
      <c r="CN641" s="87"/>
      <c r="CO641" s="87"/>
      <c r="CP641" s="90"/>
      <c r="CQ641" s="90"/>
      <c r="CR641" s="90"/>
      <c r="CS641" s="90"/>
      <c r="CT641" s="85"/>
      <c r="CU641" s="85"/>
      <c r="CV641" s="85"/>
      <c r="CW641" s="85"/>
      <c r="CX641" s="85"/>
      <c r="CY641" s="85"/>
      <c r="CZ641" s="85"/>
      <c r="DA641" s="33">
        <f t="shared" si="9"/>
        <v>0</v>
      </c>
    </row>
    <row r="642" spans="36:105" ht="19" x14ac:dyDescent="0.25">
      <c r="AJ642" s="63"/>
      <c r="AK642" s="20"/>
      <c r="AL642" s="21"/>
      <c r="AM642" s="22"/>
      <c r="AN642" s="23"/>
      <c r="AO642" s="24"/>
      <c r="AP642" s="25"/>
      <c r="AQ642" s="26"/>
      <c r="AR642" s="27"/>
      <c r="AS642" s="192"/>
      <c r="AT642" s="111"/>
      <c r="AU642" s="193"/>
      <c r="AV642" s="140"/>
      <c r="AW642" s="118"/>
      <c r="AX642" s="141"/>
      <c r="AY642" s="149"/>
      <c r="AZ642" s="121"/>
      <c r="BA642" s="150"/>
      <c r="BB642" s="158"/>
      <c r="BC642" s="124"/>
      <c r="BD642" s="159"/>
      <c r="BE642" s="167"/>
      <c r="BF642" s="85"/>
      <c r="BG642" s="168"/>
      <c r="BH642" s="175"/>
      <c r="BI642" s="127"/>
      <c r="BJ642" s="176"/>
      <c r="BK642" s="184"/>
      <c r="BL642" s="130"/>
      <c r="BM642" s="185"/>
      <c r="BN642" s="69"/>
      <c r="BO642" s="85"/>
      <c r="BP642" s="85"/>
      <c r="BQ642" s="85"/>
      <c r="BR642" s="85"/>
      <c r="BS642" s="85"/>
      <c r="BT642" s="85"/>
      <c r="BU642" s="87"/>
      <c r="BV642" s="87"/>
      <c r="BW642" s="87"/>
      <c r="BX642" s="87"/>
      <c r="BY642" s="87"/>
      <c r="BZ642" s="87"/>
      <c r="CA642" s="90"/>
      <c r="CB642" s="90"/>
      <c r="CC642" s="90"/>
      <c r="CD642" s="90"/>
      <c r="CE642" s="90"/>
      <c r="CF642" s="90"/>
      <c r="CG642" s="85"/>
      <c r="CH642" s="85"/>
      <c r="CI642" s="85"/>
      <c r="CJ642" s="85"/>
      <c r="CK642" s="85"/>
      <c r="CL642" s="87"/>
      <c r="CM642" s="87"/>
      <c r="CN642" s="87"/>
      <c r="CO642" s="87"/>
      <c r="CP642" s="90"/>
      <c r="CQ642" s="90"/>
      <c r="CR642" s="90"/>
      <c r="CS642" s="90"/>
      <c r="CT642" s="85"/>
      <c r="CU642" s="85"/>
      <c r="CV642" s="85"/>
      <c r="CW642" s="85"/>
      <c r="CX642" s="85"/>
      <c r="CY642" s="85"/>
      <c r="CZ642" s="85"/>
      <c r="DA642" s="33">
        <f t="shared" si="9"/>
        <v>0</v>
      </c>
    </row>
    <row r="643" spans="36:105" ht="19" x14ac:dyDescent="0.25">
      <c r="AJ643" s="63"/>
      <c r="AK643" s="20"/>
      <c r="AL643" s="21"/>
      <c r="AM643" s="22"/>
      <c r="AN643" s="23"/>
      <c r="AO643" s="24"/>
      <c r="AP643" s="25"/>
      <c r="AQ643" s="26"/>
      <c r="AR643" s="27"/>
      <c r="AS643" s="192"/>
      <c r="AT643" s="111"/>
      <c r="AU643" s="193"/>
      <c r="AV643" s="140"/>
      <c r="AW643" s="118"/>
      <c r="AX643" s="141"/>
      <c r="AY643" s="149"/>
      <c r="AZ643" s="121"/>
      <c r="BA643" s="150"/>
      <c r="BB643" s="158"/>
      <c r="BC643" s="124"/>
      <c r="BD643" s="159"/>
      <c r="BE643" s="167"/>
      <c r="BF643" s="85"/>
      <c r="BG643" s="168"/>
      <c r="BH643" s="175"/>
      <c r="BI643" s="127"/>
      <c r="BJ643" s="176"/>
      <c r="BK643" s="184"/>
      <c r="BL643" s="130"/>
      <c r="BM643" s="185"/>
      <c r="BN643" s="69"/>
      <c r="BO643" s="85"/>
      <c r="BP643" s="85"/>
      <c r="BQ643" s="85"/>
      <c r="BR643" s="85"/>
      <c r="BS643" s="85"/>
      <c r="BT643" s="85"/>
      <c r="BU643" s="87"/>
      <c r="BV643" s="87"/>
      <c r="BW643" s="87"/>
      <c r="BX643" s="87"/>
      <c r="BY643" s="87"/>
      <c r="BZ643" s="87"/>
      <c r="CA643" s="90"/>
      <c r="CB643" s="90"/>
      <c r="CC643" s="90"/>
      <c r="CD643" s="90"/>
      <c r="CE643" s="90"/>
      <c r="CF643" s="90"/>
      <c r="CG643" s="85"/>
      <c r="CH643" s="85"/>
      <c r="CI643" s="85"/>
      <c r="CJ643" s="85"/>
      <c r="CK643" s="85"/>
      <c r="CL643" s="87"/>
      <c r="CM643" s="87"/>
      <c r="CN643" s="87"/>
      <c r="CO643" s="87"/>
      <c r="CP643" s="90"/>
      <c r="CQ643" s="90"/>
      <c r="CR643" s="90"/>
      <c r="CS643" s="90"/>
      <c r="CT643" s="85"/>
      <c r="CU643" s="85"/>
      <c r="CV643" s="85"/>
      <c r="CW643" s="85"/>
      <c r="CX643" s="85"/>
      <c r="CY643" s="85"/>
      <c r="CZ643" s="85"/>
      <c r="DA643" s="33">
        <f t="shared" si="9"/>
        <v>0</v>
      </c>
    </row>
    <row r="644" spans="36:105" ht="19" x14ac:dyDescent="0.25">
      <c r="AJ644" s="63"/>
      <c r="AK644" s="20"/>
      <c r="AL644" s="21"/>
      <c r="AM644" s="22"/>
      <c r="AN644" s="23"/>
      <c r="AO644" s="24"/>
      <c r="AP644" s="25"/>
      <c r="AQ644" s="26"/>
      <c r="AR644" s="27"/>
      <c r="AS644" s="192"/>
      <c r="AT644" s="111"/>
      <c r="AU644" s="193"/>
      <c r="AV644" s="140"/>
      <c r="AW644" s="118"/>
      <c r="AX644" s="141"/>
      <c r="AY644" s="149"/>
      <c r="AZ644" s="121"/>
      <c r="BA644" s="150"/>
      <c r="BB644" s="158"/>
      <c r="BC644" s="124"/>
      <c r="BD644" s="159"/>
      <c r="BE644" s="167"/>
      <c r="BF644" s="85"/>
      <c r="BG644" s="168"/>
      <c r="BH644" s="175"/>
      <c r="BI644" s="127"/>
      <c r="BJ644" s="176"/>
      <c r="BK644" s="184"/>
      <c r="BL644" s="130"/>
      <c r="BM644" s="185"/>
      <c r="BN644" s="69"/>
      <c r="BO644" s="85"/>
      <c r="BP644" s="85"/>
      <c r="BQ644" s="85"/>
      <c r="BR644" s="85"/>
      <c r="BS644" s="85"/>
      <c r="BT644" s="85"/>
      <c r="BU644" s="87"/>
      <c r="BV644" s="87"/>
      <c r="BW644" s="87"/>
      <c r="BX644" s="87"/>
      <c r="BY644" s="87"/>
      <c r="BZ644" s="87"/>
      <c r="CA644" s="90"/>
      <c r="CB644" s="90"/>
      <c r="CC644" s="90"/>
      <c r="CD644" s="90"/>
      <c r="CE644" s="90"/>
      <c r="CF644" s="90"/>
      <c r="CG644" s="85"/>
      <c r="CH644" s="85"/>
      <c r="CI644" s="85"/>
      <c r="CJ644" s="85"/>
      <c r="CK644" s="85"/>
      <c r="CL644" s="87"/>
      <c r="CM644" s="87"/>
      <c r="CN644" s="87"/>
      <c r="CO644" s="87"/>
      <c r="CP644" s="90"/>
      <c r="CQ644" s="90"/>
      <c r="CR644" s="90"/>
      <c r="CS644" s="90"/>
      <c r="CT644" s="85"/>
      <c r="CU644" s="85"/>
      <c r="CV644" s="85"/>
      <c r="CW644" s="85"/>
      <c r="CX644" s="85"/>
      <c r="CY644" s="85"/>
      <c r="CZ644" s="85"/>
      <c r="DA644" s="33">
        <f t="shared" si="9"/>
        <v>0</v>
      </c>
    </row>
    <row r="645" spans="36:105" ht="19" x14ac:dyDescent="0.25">
      <c r="AJ645" s="63"/>
      <c r="AK645" s="20"/>
      <c r="AL645" s="21"/>
      <c r="AM645" s="22"/>
      <c r="AN645" s="23"/>
      <c r="AO645" s="24"/>
      <c r="AP645" s="25"/>
      <c r="AQ645" s="26"/>
      <c r="AR645" s="27"/>
      <c r="AS645" s="192"/>
      <c r="AT645" s="111"/>
      <c r="AU645" s="193"/>
      <c r="AV645" s="140"/>
      <c r="AW645" s="118"/>
      <c r="AX645" s="141"/>
      <c r="AY645" s="149"/>
      <c r="AZ645" s="121"/>
      <c r="BA645" s="150"/>
      <c r="BB645" s="158"/>
      <c r="BC645" s="124"/>
      <c r="BD645" s="159"/>
      <c r="BE645" s="167"/>
      <c r="BF645" s="85"/>
      <c r="BG645" s="168"/>
      <c r="BH645" s="175"/>
      <c r="BI645" s="127"/>
      <c r="BJ645" s="176"/>
      <c r="BK645" s="184"/>
      <c r="BL645" s="130"/>
      <c r="BM645" s="185"/>
      <c r="BN645" s="69"/>
      <c r="BO645" s="85"/>
      <c r="BP645" s="85"/>
      <c r="BQ645" s="85"/>
      <c r="BR645" s="85"/>
      <c r="BS645" s="85"/>
      <c r="BT645" s="85"/>
      <c r="BU645" s="87"/>
      <c r="BV645" s="87"/>
      <c r="BW645" s="87"/>
      <c r="BX645" s="87"/>
      <c r="BY645" s="87"/>
      <c r="BZ645" s="87"/>
      <c r="CA645" s="90"/>
      <c r="CB645" s="90"/>
      <c r="CC645" s="90"/>
      <c r="CD645" s="90"/>
      <c r="CE645" s="90"/>
      <c r="CF645" s="90"/>
      <c r="CG645" s="85"/>
      <c r="CH645" s="85"/>
      <c r="CI645" s="85"/>
      <c r="CJ645" s="85"/>
      <c r="CK645" s="85"/>
      <c r="CL645" s="87"/>
      <c r="CM645" s="87"/>
      <c r="CN645" s="87"/>
      <c r="CO645" s="87"/>
      <c r="CP645" s="90"/>
      <c r="CQ645" s="90"/>
      <c r="CR645" s="90"/>
      <c r="CS645" s="90"/>
      <c r="CT645" s="85"/>
      <c r="CU645" s="85"/>
      <c r="CV645" s="85"/>
      <c r="CW645" s="85"/>
      <c r="CX645" s="85"/>
      <c r="CY645" s="85"/>
      <c r="CZ645" s="85"/>
      <c r="DA645" s="33">
        <f t="shared" si="9"/>
        <v>0</v>
      </c>
    </row>
    <row r="646" spans="36:105" ht="19" x14ac:dyDescent="0.25">
      <c r="AJ646" s="63"/>
      <c r="AK646" s="20"/>
      <c r="AL646" s="21"/>
      <c r="AM646" s="22"/>
      <c r="AN646" s="23"/>
      <c r="AO646" s="24"/>
      <c r="AP646" s="25"/>
      <c r="AQ646" s="26"/>
      <c r="AR646" s="27"/>
      <c r="AS646" s="192"/>
      <c r="AT646" s="111"/>
      <c r="AU646" s="193"/>
      <c r="AV646" s="140"/>
      <c r="AW646" s="118"/>
      <c r="AX646" s="141"/>
      <c r="AY646" s="149"/>
      <c r="AZ646" s="121"/>
      <c r="BA646" s="150"/>
      <c r="BB646" s="158"/>
      <c r="BC646" s="124"/>
      <c r="BD646" s="159"/>
      <c r="BE646" s="167"/>
      <c r="BF646" s="85"/>
      <c r="BG646" s="168"/>
      <c r="BH646" s="175"/>
      <c r="BI646" s="127"/>
      <c r="BJ646" s="176"/>
      <c r="BK646" s="184"/>
      <c r="BL646" s="130"/>
      <c r="BM646" s="185"/>
      <c r="BN646" s="69"/>
      <c r="BO646" s="85"/>
      <c r="BP646" s="85"/>
      <c r="BQ646" s="85"/>
      <c r="BR646" s="85"/>
      <c r="BS646" s="85"/>
      <c r="BT646" s="85"/>
      <c r="BU646" s="87"/>
      <c r="BV646" s="87"/>
      <c r="BW646" s="87"/>
      <c r="BX646" s="87"/>
      <c r="BY646" s="87"/>
      <c r="BZ646" s="87"/>
      <c r="CA646" s="90"/>
      <c r="CB646" s="90"/>
      <c r="CC646" s="90"/>
      <c r="CD646" s="90"/>
      <c r="CE646" s="90"/>
      <c r="CF646" s="90"/>
      <c r="CG646" s="85"/>
      <c r="CH646" s="85"/>
      <c r="CI646" s="85"/>
      <c r="CJ646" s="85"/>
      <c r="CK646" s="85"/>
      <c r="CL646" s="87"/>
      <c r="CM646" s="87"/>
      <c r="CN646" s="87"/>
      <c r="CO646" s="87"/>
      <c r="CP646" s="90"/>
      <c r="CQ646" s="90"/>
      <c r="CR646" s="90"/>
      <c r="CS646" s="90"/>
      <c r="CT646" s="85"/>
      <c r="CU646" s="85"/>
      <c r="CV646" s="85"/>
      <c r="CW646" s="85"/>
      <c r="CX646" s="85"/>
      <c r="CY646" s="85"/>
      <c r="CZ646" s="85"/>
      <c r="DA646" s="33">
        <f t="shared" si="9"/>
        <v>0</v>
      </c>
    </row>
    <row r="647" spans="36:105" ht="19" x14ac:dyDescent="0.25">
      <c r="AJ647" s="63"/>
      <c r="AK647" s="20"/>
      <c r="AL647" s="21"/>
      <c r="AM647" s="22"/>
      <c r="AN647" s="23"/>
      <c r="AO647" s="24"/>
      <c r="AP647" s="25"/>
      <c r="AQ647" s="26"/>
      <c r="AR647" s="27"/>
      <c r="AS647" s="192"/>
      <c r="AT647" s="111"/>
      <c r="AU647" s="193"/>
      <c r="AV647" s="140"/>
      <c r="AW647" s="118"/>
      <c r="AX647" s="141"/>
      <c r="AY647" s="149"/>
      <c r="AZ647" s="121"/>
      <c r="BA647" s="150"/>
      <c r="BB647" s="158"/>
      <c r="BC647" s="124"/>
      <c r="BD647" s="159"/>
      <c r="BE647" s="167"/>
      <c r="BF647" s="85"/>
      <c r="BG647" s="168"/>
      <c r="BH647" s="175"/>
      <c r="BI647" s="127"/>
      <c r="BJ647" s="176"/>
      <c r="BK647" s="184"/>
      <c r="BL647" s="130"/>
      <c r="BM647" s="185"/>
      <c r="BN647" s="69"/>
      <c r="BO647" s="85"/>
      <c r="BP647" s="85"/>
      <c r="BQ647" s="85"/>
      <c r="BR647" s="85"/>
      <c r="BS647" s="85"/>
      <c r="BT647" s="85"/>
      <c r="BU647" s="87"/>
      <c r="BV647" s="87"/>
      <c r="BW647" s="87"/>
      <c r="BX647" s="87"/>
      <c r="BY647" s="87"/>
      <c r="BZ647" s="87"/>
      <c r="CA647" s="90"/>
      <c r="CB647" s="90"/>
      <c r="CC647" s="90"/>
      <c r="CD647" s="90"/>
      <c r="CE647" s="90"/>
      <c r="CF647" s="90"/>
      <c r="CG647" s="85"/>
      <c r="CH647" s="85"/>
      <c r="CI647" s="85"/>
      <c r="CJ647" s="85"/>
      <c r="CK647" s="85"/>
      <c r="CL647" s="87"/>
      <c r="CM647" s="87"/>
      <c r="CN647" s="87"/>
      <c r="CO647" s="87"/>
      <c r="CP647" s="90"/>
      <c r="CQ647" s="90"/>
      <c r="CR647" s="90"/>
      <c r="CS647" s="90"/>
      <c r="CT647" s="85"/>
      <c r="CU647" s="85"/>
      <c r="CV647" s="85"/>
      <c r="CW647" s="85"/>
      <c r="CX647" s="85"/>
      <c r="CY647" s="85"/>
      <c r="CZ647" s="85"/>
      <c r="DA647" s="33">
        <f t="shared" si="9"/>
        <v>0</v>
      </c>
    </row>
    <row r="648" spans="36:105" ht="19" x14ac:dyDescent="0.25">
      <c r="AJ648" s="63"/>
      <c r="AK648" s="20"/>
      <c r="AL648" s="21"/>
      <c r="AM648" s="22"/>
      <c r="AN648" s="23"/>
      <c r="AO648" s="24"/>
      <c r="AP648" s="25"/>
      <c r="AQ648" s="26"/>
      <c r="AR648" s="27"/>
      <c r="AS648" s="192"/>
      <c r="AT648" s="111"/>
      <c r="AU648" s="193"/>
      <c r="AV648" s="140"/>
      <c r="AW648" s="118"/>
      <c r="AX648" s="141"/>
      <c r="AY648" s="149"/>
      <c r="AZ648" s="121"/>
      <c r="BA648" s="150"/>
      <c r="BB648" s="158"/>
      <c r="BC648" s="124"/>
      <c r="BD648" s="159"/>
      <c r="BE648" s="167"/>
      <c r="BF648" s="85"/>
      <c r="BG648" s="168"/>
      <c r="BH648" s="175"/>
      <c r="BI648" s="127"/>
      <c r="BJ648" s="176"/>
      <c r="BK648" s="184"/>
      <c r="BL648" s="130"/>
      <c r="BM648" s="185"/>
      <c r="BN648" s="69"/>
      <c r="BO648" s="85"/>
      <c r="BP648" s="85"/>
      <c r="BQ648" s="85"/>
      <c r="BR648" s="85"/>
      <c r="BS648" s="85"/>
      <c r="BT648" s="85"/>
      <c r="BU648" s="87"/>
      <c r="BV648" s="87"/>
      <c r="BW648" s="87"/>
      <c r="BX648" s="87"/>
      <c r="BY648" s="87"/>
      <c r="BZ648" s="87"/>
      <c r="CA648" s="90"/>
      <c r="CB648" s="90"/>
      <c r="CC648" s="90"/>
      <c r="CD648" s="90"/>
      <c r="CE648" s="90"/>
      <c r="CF648" s="90"/>
      <c r="CG648" s="85"/>
      <c r="CH648" s="85"/>
      <c r="CI648" s="85"/>
      <c r="CJ648" s="85"/>
      <c r="CK648" s="85"/>
      <c r="CL648" s="87"/>
      <c r="CM648" s="87"/>
      <c r="CN648" s="87"/>
      <c r="CO648" s="87"/>
      <c r="CP648" s="90"/>
      <c r="CQ648" s="90"/>
      <c r="CR648" s="90"/>
      <c r="CS648" s="90"/>
      <c r="CT648" s="85"/>
      <c r="CU648" s="85"/>
      <c r="CV648" s="85"/>
      <c r="CW648" s="85"/>
      <c r="CX648" s="85"/>
      <c r="CY648" s="85"/>
      <c r="CZ648" s="85"/>
      <c r="DA648" s="33">
        <f t="shared" si="9"/>
        <v>0</v>
      </c>
    </row>
    <row r="649" spans="36:105" ht="19" x14ac:dyDescent="0.25">
      <c r="AJ649" s="63"/>
      <c r="AK649" s="20"/>
      <c r="AL649" s="21"/>
      <c r="AM649" s="22"/>
      <c r="AN649" s="23"/>
      <c r="AO649" s="24"/>
      <c r="AP649" s="25"/>
      <c r="AQ649" s="26"/>
      <c r="AR649" s="27"/>
      <c r="AS649" s="192"/>
      <c r="AT649" s="111"/>
      <c r="AU649" s="193"/>
      <c r="AV649" s="140"/>
      <c r="AW649" s="118"/>
      <c r="AX649" s="141"/>
      <c r="AY649" s="149"/>
      <c r="AZ649" s="121"/>
      <c r="BA649" s="150"/>
      <c r="BB649" s="158"/>
      <c r="BC649" s="124"/>
      <c r="BD649" s="159"/>
      <c r="BE649" s="167"/>
      <c r="BF649" s="85"/>
      <c r="BG649" s="168"/>
      <c r="BH649" s="175"/>
      <c r="BI649" s="127"/>
      <c r="BJ649" s="176"/>
      <c r="BK649" s="184"/>
      <c r="BL649" s="130"/>
      <c r="BM649" s="185"/>
      <c r="BN649" s="69"/>
      <c r="BO649" s="85"/>
      <c r="BP649" s="85"/>
      <c r="BQ649" s="85"/>
      <c r="BR649" s="85"/>
      <c r="BS649" s="85"/>
      <c r="BT649" s="85"/>
      <c r="BU649" s="87"/>
      <c r="BV649" s="87"/>
      <c r="BW649" s="87"/>
      <c r="BX649" s="87"/>
      <c r="BY649" s="87"/>
      <c r="BZ649" s="87"/>
      <c r="CA649" s="90"/>
      <c r="CB649" s="90"/>
      <c r="CC649" s="90"/>
      <c r="CD649" s="90"/>
      <c r="CE649" s="90"/>
      <c r="CF649" s="90"/>
      <c r="CG649" s="85"/>
      <c r="CH649" s="85"/>
      <c r="CI649" s="85"/>
      <c r="CJ649" s="85"/>
      <c r="CK649" s="85"/>
      <c r="CL649" s="87"/>
      <c r="CM649" s="87"/>
      <c r="CN649" s="87"/>
      <c r="CO649" s="87"/>
      <c r="CP649" s="90"/>
      <c r="CQ649" s="90"/>
      <c r="CR649" s="90"/>
      <c r="CS649" s="90"/>
      <c r="CT649" s="85"/>
      <c r="CU649" s="85"/>
      <c r="CV649" s="85"/>
      <c r="CW649" s="85"/>
      <c r="CX649" s="85"/>
      <c r="CY649" s="85"/>
      <c r="CZ649" s="85"/>
      <c r="DA649" s="33">
        <f t="shared" si="9"/>
        <v>0</v>
      </c>
    </row>
    <row r="650" spans="36:105" ht="19" x14ac:dyDescent="0.25">
      <c r="AJ650" s="63"/>
      <c r="AK650" s="20"/>
      <c r="AL650" s="21"/>
      <c r="AM650" s="22"/>
      <c r="AN650" s="23"/>
      <c r="AO650" s="24"/>
      <c r="AP650" s="25"/>
      <c r="AQ650" s="26"/>
      <c r="AR650" s="27"/>
      <c r="AS650" s="192"/>
      <c r="AT650" s="111"/>
      <c r="AU650" s="193"/>
      <c r="AV650" s="140"/>
      <c r="AW650" s="118"/>
      <c r="AX650" s="141"/>
      <c r="AY650" s="149"/>
      <c r="AZ650" s="121"/>
      <c r="BA650" s="150"/>
      <c r="BB650" s="158"/>
      <c r="BC650" s="124"/>
      <c r="BD650" s="159"/>
      <c r="BE650" s="167"/>
      <c r="BF650" s="85"/>
      <c r="BG650" s="168"/>
      <c r="BH650" s="175"/>
      <c r="BI650" s="127"/>
      <c r="BJ650" s="176"/>
      <c r="BK650" s="184"/>
      <c r="BL650" s="130"/>
      <c r="BM650" s="185"/>
      <c r="BN650" s="69"/>
      <c r="BO650" s="85"/>
      <c r="BP650" s="85"/>
      <c r="BQ650" s="85"/>
      <c r="BR650" s="85"/>
      <c r="BS650" s="85"/>
      <c r="BT650" s="85"/>
      <c r="BU650" s="87"/>
      <c r="BV650" s="87"/>
      <c r="BW650" s="87"/>
      <c r="BX650" s="87"/>
      <c r="BY650" s="87"/>
      <c r="BZ650" s="87"/>
      <c r="CA650" s="90"/>
      <c r="CB650" s="90"/>
      <c r="CC650" s="90"/>
      <c r="CD650" s="90"/>
      <c r="CE650" s="90"/>
      <c r="CF650" s="90"/>
      <c r="CG650" s="85"/>
      <c r="CH650" s="85"/>
      <c r="CI650" s="85"/>
      <c r="CJ650" s="85"/>
      <c r="CK650" s="85"/>
      <c r="CL650" s="87"/>
      <c r="CM650" s="87"/>
      <c r="CN650" s="87"/>
      <c r="CO650" s="87"/>
      <c r="CP650" s="90"/>
      <c r="CQ650" s="90"/>
      <c r="CR650" s="90"/>
      <c r="CS650" s="90"/>
      <c r="CT650" s="85"/>
      <c r="CU650" s="85"/>
      <c r="CV650" s="85"/>
      <c r="CW650" s="85"/>
      <c r="CX650" s="85"/>
      <c r="CY650" s="85"/>
      <c r="CZ650" s="85"/>
      <c r="DA650" s="33">
        <f t="shared" si="9"/>
        <v>0</v>
      </c>
    </row>
    <row r="651" spans="36:105" ht="19" x14ac:dyDescent="0.25">
      <c r="AJ651" s="63"/>
      <c r="AK651" s="20"/>
      <c r="AL651" s="21"/>
      <c r="AM651" s="22"/>
      <c r="AN651" s="23"/>
      <c r="AO651" s="24"/>
      <c r="AP651" s="25"/>
      <c r="AQ651" s="26"/>
      <c r="AR651" s="27"/>
      <c r="AS651" s="192"/>
      <c r="AT651" s="111"/>
      <c r="AU651" s="193"/>
      <c r="AV651" s="140"/>
      <c r="AW651" s="118"/>
      <c r="AX651" s="141"/>
      <c r="AY651" s="149"/>
      <c r="AZ651" s="121"/>
      <c r="BA651" s="150"/>
      <c r="BB651" s="158"/>
      <c r="BC651" s="124"/>
      <c r="BD651" s="159"/>
      <c r="BE651" s="167"/>
      <c r="BF651" s="85"/>
      <c r="BG651" s="168"/>
      <c r="BH651" s="175"/>
      <c r="BI651" s="127"/>
      <c r="BJ651" s="176"/>
      <c r="BK651" s="184"/>
      <c r="BL651" s="130"/>
      <c r="BM651" s="185"/>
      <c r="BN651" s="69"/>
      <c r="BO651" s="85"/>
      <c r="BP651" s="85"/>
      <c r="BQ651" s="85"/>
      <c r="BR651" s="85"/>
      <c r="BS651" s="85"/>
      <c r="BT651" s="85"/>
      <c r="BU651" s="87"/>
      <c r="BV651" s="87"/>
      <c r="BW651" s="87"/>
      <c r="BX651" s="87"/>
      <c r="BY651" s="87"/>
      <c r="BZ651" s="87"/>
      <c r="CA651" s="90"/>
      <c r="CB651" s="90"/>
      <c r="CC651" s="90"/>
      <c r="CD651" s="90"/>
      <c r="CE651" s="90"/>
      <c r="CF651" s="90"/>
      <c r="CG651" s="85"/>
      <c r="CH651" s="85"/>
      <c r="CI651" s="85"/>
      <c r="CJ651" s="85"/>
      <c r="CK651" s="85"/>
      <c r="CL651" s="87"/>
      <c r="CM651" s="87"/>
      <c r="CN651" s="87"/>
      <c r="CO651" s="87"/>
      <c r="CP651" s="90"/>
      <c r="CQ651" s="90"/>
      <c r="CR651" s="90"/>
      <c r="CS651" s="90"/>
      <c r="CT651" s="85"/>
      <c r="CU651" s="85"/>
      <c r="CV651" s="85"/>
      <c r="CW651" s="85"/>
      <c r="CX651" s="85"/>
      <c r="CY651" s="85"/>
      <c r="CZ651" s="85"/>
      <c r="DA651" s="33">
        <f t="shared" si="9"/>
        <v>0</v>
      </c>
    </row>
    <row r="652" spans="36:105" ht="19" x14ac:dyDescent="0.25">
      <c r="AJ652" s="63"/>
      <c r="AK652" s="20"/>
      <c r="AL652" s="21"/>
      <c r="AM652" s="22"/>
      <c r="AN652" s="23"/>
      <c r="AO652" s="24"/>
      <c r="AP652" s="25"/>
      <c r="AQ652" s="26"/>
      <c r="AR652" s="27"/>
      <c r="AS652" s="192"/>
      <c r="AT652" s="111"/>
      <c r="AU652" s="193"/>
      <c r="AV652" s="140"/>
      <c r="AW652" s="118"/>
      <c r="AX652" s="141"/>
      <c r="AY652" s="149"/>
      <c r="AZ652" s="121"/>
      <c r="BA652" s="150"/>
      <c r="BB652" s="158"/>
      <c r="BC652" s="124"/>
      <c r="BD652" s="159"/>
      <c r="BE652" s="167"/>
      <c r="BF652" s="85"/>
      <c r="BG652" s="168"/>
      <c r="BH652" s="175"/>
      <c r="BI652" s="127"/>
      <c r="BJ652" s="176"/>
      <c r="BK652" s="184"/>
      <c r="BL652" s="130"/>
      <c r="BM652" s="185"/>
      <c r="BN652" s="69"/>
      <c r="BO652" s="85"/>
      <c r="BP652" s="85"/>
      <c r="BQ652" s="85"/>
      <c r="BR652" s="85"/>
      <c r="BS652" s="85"/>
      <c r="BT652" s="85"/>
      <c r="BU652" s="87"/>
      <c r="BV652" s="87"/>
      <c r="BW652" s="87"/>
      <c r="BX652" s="87"/>
      <c r="BY652" s="87"/>
      <c r="BZ652" s="87"/>
      <c r="CA652" s="90"/>
      <c r="CB652" s="90"/>
      <c r="CC652" s="90"/>
      <c r="CD652" s="90"/>
      <c r="CE652" s="90"/>
      <c r="CF652" s="90"/>
      <c r="CG652" s="85"/>
      <c r="CH652" s="85"/>
      <c r="CI652" s="85"/>
      <c r="CJ652" s="85"/>
      <c r="CK652" s="85"/>
      <c r="CL652" s="87"/>
      <c r="CM652" s="87"/>
      <c r="CN652" s="87"/>
      <c r="CO652" s="87"/>
      <c r="CP652" s="90"/>
      <c r="CQ652" s="90"/>
      <c r="CR652" s="90"/>
      <c r="CS652" s="90"/>
      <c r="CT652" s="85"/>
      <c r="CU652" s="85"/>
      <c r="CV652" s="85"/>
      <c r="CW652" s="85"/>
      <c r="CX652" s="85"/>
      <c r="CY652" s="85"/>
      <c r="CZ652" s="85"/>
      <c r="DA652" s="33">
        <f t="shared" si="9"/>
        <v>0</v>
      </c>
    </row>
    <row r="653" spans="36:105" ht="19" x14ac:dyDescent="0.25">
      <c r="AJ653" s="63"/>
      <c r="AK653" s="20"/>
      <c r="AL653" s="21"/>
      <c r="AM653" s="22"/>
      <c r="AN653" s="23"/>
      <c r="AO653" s="24"/>
      <c r="AP653" s="25"/>
      <c r="AQ653" s="26"/>
      <c r="AR653" s="27"/>
      <c r="AS653" s="192"/>
      <c r="AT653" s="111"/>
      <c r="AU653" s="193"/>
      <c r="AV653" s="140"/>
      <c r="AW653" s="118"/>
      <c r="AX653" s="141"/>
      <c r="AY653" s="149"/>
      <c r="AZ653" s="121"/>
      <c r="BA653" s="150"/>
      <c r="BB653" s="158"/>
      <c r="BC653" s="124"/>
      <c r="BD653" s="159"/>
      <c r="BE653" s="167"/>
      <c r="BF653" s="85"/>
      <c r="BG653" s="168"/>
      <c r="BH653" s="175"/>
      <c r="BI653" s="127"/>
      <c r="BJ653" s="176"/>
      <c r="BK653" s="184"/>
      <c r="BL653" s="130"/>
      <c r="BM653" s="185"/>
      <c r="BN653" s="69"/>
      <c r="BO653" s="85"/>
      <c r="BP653" s="85"/>
      <c r="BQ653" s="85"/>
      <c r="BR653" s="85"/>
      <c r="BS653" s="85"/>
      <c r="BT653" s="85"/>
      <c r="BU653" s="87"/>
      <c r="BV653" s="87"/>
      <c r="BW653" s="87"/>
      <c r="BX653" s="87"/>
      <c r="BY653" s="87"/>
      <c r="BZ653" s="87"/>
      <c r="CA653" s="90"/>
      <c r="CB653" s="90"/>
      <c r="CC653" s="90"/>
      <c r="CD653" s="90"/>
      <c r="CE653" s="90"/>
      <c r="CF653" s="90"/>
      <c r="CG653" s="85"/>
      <c r="CH653" s="85"/>
      <c r="CI653" s="85"/>
      <c r="CJ653" s="85"/>
      <c r="CK653" s="85"/>
      <c r="CL653" s="87"/>
      <c r="CM653" s="87"/>
      <c r="CN653" s="87"/>
      <c r="CO653" s="87"/>
      <c r="CP653" s="90"/>
      <c r="CQ653" s="90"/>
      <c r="CR653" s="90"/>
      <c r="CS653" s="90"/>
      <c r="CT653" s="85"/>
      <c r="CU653" s="85"/>
      <c r="CV653" s="85"/>
      <c r="CW653" s="85"/>
      <c r="CX653" s="85"/>
      <c r="CY653" s="85"/>
      <c r="CZ653" s="85"/>
      <c r="DA653" s="33">
        <f t="shared" si="9"/>
        <v>0</v>
      </c>
    </row>
    <row r="654" spans="36:105" ht="19" x14ac:dyDescent="0.25">
      <c r="AJ654" s="63"/>
      <c r="AK654" s="20"/>
      <c r="AL654" s="21"/>
      <c r="AM654" s="22"/>
      <c r="AN654" s="23"/>
      <c r="AO654" s="24"/>
      <c r="AP654" s="25"/>
      <c r="AQ654" s="26"/>
      <c r="AR654" s="27"/>
      <c r="AS654" s="192"/>
      <c r="AT654" s="111"/>
      <c r="AU654" s="193"/>
      <c r="AV654" s="140"/>
      <c r="AW654" s="118"/>
      <c r="AX654" s="141"/>
      <c r="AY654" s="149"/>
      <c r="AZ654" s="121"/>
      <c r="BA654" s="150"/>
      <c r="BB654" s="158"/>
      <c r="BC654" s="124"/>
      <c r="BD654" s="159"/>
      <c r="BE654" s="167"/>
      <c r="BF654" s="85"/>
      <c r="BG654" s="168"/>
      <c r="BH654" s="175"/>
      <c r="BI654" s="127"/>
      <c r="BJ654" s="176"/>
      <c r="BK654" s="184"/>
      <c r="BL654" s="130"/>
      <c r="BM654" s="185"/>
      <c r="BN654" s="69"/>
      <c r="BO654" s="85"/>
      <c r="BP654" s="85"/>
      <c r="BQ654" s="85"/>
      <c r="BR654" s="85"/>
      <c r="BS654" s="85"/>
      <c r="BT654" s="85"/>
      <c r="BU654" s="87"/>
      <c r="BV654" s="87"/>
      <c r="BW654" s="87"/>
      <c r="BX654" s="87"/>
      <c r="BY654" s="87"/>
      <c r="BZ654" s="87"/>
      <c r="CA654" s="90"/>
      <c r="CB654" s="90"/>
      <c r="CC654" s="90"/>
      <c r="CD654" s="90"/>
      <c r="CE654" s="90"/>
      <c r="CF654" s="90"/>
      <c r="CG654" s="85"/>
      <c r="CH654" s="85"/>
      <c r="CI654" s="85"/>
      <c r="CJ654" s="85"/>
      <c r="CK654" s="85"/>
      <c r="CL654" s="87"/>
      <c r="CM654" s="87"/>
      <c r="CN654" s="87"/>
      <c r="CO654" s="87"/>
      <c r="CP654" s="90"/>
      <c r="CQ654" s="90"/>
      <c r="CR654" s="90"/>
      <c r="CS654" s="90"/>
      <c r="CT654" s="85"/>
      <c r="CU654" s="85"/>
      <c r="CV654" s="85"/>
      <c r="CW654" s="85"/>
      <c r="CX654" s="85"/>
      <c r="CY654" s="85"/>
      <c r="CZ654" s="85"/>
      <c r="DA654" s="33">
        <f t="shared" si="9"/>
        <v>0</v>
      </c>
    </row>
    <row r="655" spans="36:105" ht="19" x14ac:dyDescent="0.25">
      <c r="AJ655" s="63"/>
      <c r="AK655" s="20"/>
      <c r="AL655" s="21"/>
      <c r="AM655" s="22"/>
      <c r="AN655" s="23"/>
      <c r="AO655" s="24"/>
      <c r="AP655" s="25"/>
      <c r="AQ655" s="26"/>
      <c r="AR655" s="27"/>
      <c r="AS655" s="192"/>
      <c r="AT655" s="111"/>
      <c r="AU655" s="193"/>
      <c r="AV655" s="140"/>
      <c r="AW655" s="118"/>
      <c r="AX655" s="141"/>
      <c r="AY655" s="149"/>
      <c r="AZ655" s="121"/>
      <c r="BA655" s="150"/>
      <c r="BB655" s="158"/>
      <c r="BC655" s="124"/>
      <c r="BD655" s="159"/>
      <c r="BE655" s="167"/>
      <c r="BF655" s="85"/>
      <c r="BG655" s="168"/>
      <c r="BH655" s="175"/>
      <c r="BI655" s="127"/>
      <c r="BJ655" s="176"/>
      <c r="BK655" s="184"/>
      <c r="BL655" s="130"/>
      <c r="BM655" s="185"/>
      <c r="BN655" s="69"/>
      <c r="BO655" s="85"/>
      <c r="BP655" s="85"/>
      <c r="BQ655" s="85"/>
      <c r="BR655" s="85"/>
      <c r="BS655" s="85"/>
      <c r="BT655" s="85"/>
      <c r="BU655" s="87"/>
      <c r="BV655" s="87"/>
      <c r="BW655" s="87"/>
      <c r="BX655" s="87"/>
      <c r="BY655" s="87"/>
      <c r="BZ655" s="87"/>
      <c r="CA655" s="90"/>
      <c r="CB655" s="90"/>
      <c r="CC655" s="90"/>
      <c r="CD655" s="90"/>
      <c r="CE655" s="90"/>
      <c r="CF655" s="90"/>
      <c r="CG655" s="85"/>
      <c r="CH655" s="85"/>
      <c r="CI655" s="85"/>
      <c r="CJ655" s="85"/>
      <c r="CK655" s="85"/>
      <c r="CL655" s="87"/>
      <c r="CM655" s="87"/>
      <c r="CN655" s="87"/>
      <c r="CO655" s="87"/>
      <c r="CP655" s="90"/>
      <c r="CQ655" s="90"/>
      <c r="CR655" s="90"/>
      <c r="CS655" s="90"/>
      <c r="CT655" s="85"/>
      <c r="CU655" s="85"/>
      <c r="CV655" s="85"/>
      <c r="CW655" s="85"/>
      <c r="CX655" s="85"/>
      <c r="CY655" s="85"/>
      <c r="CZ655" s="85"/>
      <c r="DA655" s="33">
        <f t="shared" si="9"/>
        <v>0</v>
      </c>
    </row>
    <row r="656" spans="36:105" ht="19" x14ac:dyDescent="0.25">
      <c r="AJ656" s="63"/>
      <c r="AK656" s="20"/>
      <c r="AL656" s="21"/>
      <c r="AM656" s="22"/>
      <c r="AN656" s="23"/>
      <c r="AO656" s="24"/>
      <c r="AP656" s="25"/>
      <c r="AQ656" s="26"/>
      <c r="AR656" s="27"/>
      <c r="AS656" s="192"/>
      <c r="AT656" s="111"/>
      <c r="AU656" s="193"/>
      <c r="AV656" s="140"/>
      <c r="AW656" s="118"/>
      <c r="AX656" s="141"/>
      <c r="AY656" s="149"/>
      <c r="AZ656" s="121"/>
      <c r="BA656" s="150"/>
      <c r="BB656" s="158"/>
      <c r="BC656" s="124"/>
      <c r="BD656" s="159"/>
      <c r="BE656" s="167"/>
      <c r="BF656" s="85"/>
      <c r="BG656" s="168"/>
      <c r="BH656" s="175"/>
      <c r="BI656" s="127"/>
      <c r="BJ656" s="176"/>
      <c r="BK656" s="184"/>
      <c r="BL656" s="130"/>
      <c r="BM656" s="185"/>
      <c r="BN656" s="69"/>
      <c r="BO656" s="85"/>
      <c r="BP656" s="85"/>
      <c r="BQ656" s="85"/>
      <c r="BR656" s="85"/>
      <c r="BS656" s="85"/>
      <c r="BT656" s="85"/>
      <c r="BU656" s="87"/>
      <c r="BV656" s="87"/>
      <c r="BW656" s="87"/>
      <c r="BX656" s="87"/>
      <c r="BY656" s="87"/>
      <c r="BZ656" s="87"/>
      <c r="CA656" s="90"/>
      <c r="CB656" s="90"/>
      <c r="CC656" s="90"/>
      <c r="CD656" s="90"/>
      <c r="CE656" s="90"/>
      <c r="CF656" s="90"/>
      <c r="CG656" s="85"/>
      <c r="CH656" s="85"/>
      <c r="CI656" s="85"/>
      <c r="CJ656" s="85"/>
      <c r="CK656" s="85"/>
      <c r="CL656" s="87"/>
      <c r="CM656" s="87"/>
      <c r="CN656" s="87"/>
      <c r="CO656" s="87"/>
      <c r="CP656" s="90"/>
      <c r="CQ656" s="90"/>
      <c r="CR656" s="90"/>
      <c r="CS656" s="90"/>
      <c r="CT656" s="85"/>
      <c r="CU656" s="85"/>
      <c r="CV656" s="85"/>
      <c r="CW656" s="85"/>
      <c r="CX656" s="85"/>
      <c r="CY656" s="85"/>
      <c r="CZ656" s="85"/>
      <c r="DA656" s="33">
        <f t="shared" si="9"/>
        <v>0</v>
      </c>
    </row>
    <row r="657" spans="36:105" ht="19" x14ac:dyDescent="0.25">
      <c r="AJ657" s="63"/>
      <c r="AK657" s="20"/>
      <c r="AL657" s="21"/>
      <c r="AM657" s="22"/>
      <c r="AN657" s="23"/>
      <c r="AO657" s="24"/>
      <c r="AP657" s="25"/>
      <c r="AQ657" s="26"/>
      <c r="AR657" s="27"/>
      <c r="AS657" s="192"/>
      <c r="AT657" s="111"/>
      <c r="AU657" s="193"/>
      <c r="AV657" s="140"/>
      <c r="AW657" s="118"/>
      <c r="AX657" s="141"/>
      <c r="AY657" s="149"/>
      <c r="AZ657" s="121"/>
      <c r="BA657" s="150"/>
      <c r="BB657" s="158"/>
      <c r="BC657" s="124"/>
      <c r="BD657" s="159"/>
      <c r="BE657" s="167"/>
      <c r="BF657" s="85"/>
      <c r="BG657" s="168"/>
      <c r="BH657" s="175"/>
      <c r="BI657" s="127"/>
      <c r="BJ657" s="176"/>
      <c r="BK657" s="184"/>
      <c r="BL657" s="130"/>
      <c r="BM657" s="185"/>
      <c r="BN657" s="69"/>
      <c r="BO657" s="85"/>
      <c r="BP657" s="85"/>
      <c r="BQ657" s="85"/>
      <c r="BR657" s="85"/>
      <c r="BS657" s="85"/>
      <c r="BT657" s="85"/>
      <c r="BU657" s="87"/>
      <c r="BV657" s="87"/>
      <c r="BW657" s="87"/>
      <c r="BX657" s="87"/>
      <c r="BY657" s="87"/>
      <c r="BZ657" s="87"/>
      <c r="CA657" s="90"/>
      <c r="CB657" s="90"/>
      <c r="CC657" s="90"/>
      <c r="CD657" s="90"/>
      <c r="CE657" s="90"/>
      <c r="CF657" s="90"/>
      <c r="CG657" s="85"/>
      <c r="CH657" s="85"/>
      <c r="CI657" s="85"/>
      <c r="CJ657" s="85"/>
      <c r="CK657" s="85"/>
      <c r="CL657" s="87"/>
      <c r="CM657" s="87"/>
      <c r="CN657" s="87"/>
      <c r="CO657" s="87"/>
      <c r="CP657" s="90"/>
      <c r="CQ657" s="90"/>
      <c r="CR657" s="90"/>
      <c r="CS657" s="90"/>
      <c r="CT657" s="85"/>
      <c r="CU657" s="85"/>
      <c r="CV657" s="85"/>
      <c r="CW657" s="85"/>
      <c r="CX657" s="85"/>
      <c r="CY657" s="85"/>
      <c r="CZ657" s="85"/>
      <c r="DA657" s="33">
        <f t="shared" si="9"/>
        <v>0</v>
      </c>
    </row>
    <row r="658" spans="36:105" ht="19" x14ac:dyDescent="0.25">
      <c r="AJ658" s="63"/>
      <c r="AK658" s="20"/>
      <c r="AL658" s="21"/>
      <c r="AM658" s="22"/>
      <c r="AN658" s="23"/>
      <c r="AO658" s="24"/>
      <c r="AP658" s="25"/>
      <c r="AQ658" s="26"/>
      <c r="AR658" s="27"/>
      <c r="AS658" s="192"/>
      <c r="AT658" s="111"/>
      <c r="AU658" s="193"/>
      <c r="AV658" s="140"/>
      <c r="AW658" s="118"/>
      <c r="AX658" s="141"/>
      <c r="AY658" s="149"/>
      <c r="AZ658" s="121"/>
      <c r="BA658" s="150"/>
      <c r="BB658" s="158"/>
      <c r="BC658" s="124"/>
      <c r="BD658" s="159"/>
      <c r="BE658" s="167"/>
      <c r="BF658" s="85"/>
      <c r="BG658" s="168"/>
      <c r="BH658" s="175"/>
      <c r="BI658" s="127"/>
      <c r="BJ658" s="176"/>
      <c r="BK658" s="184"/>
      <c r="BL658" s="130"/>
      <c r="BM658" s="185"/>
      <c r="BN658" s="69"/>
      <c r="BO658" s="85"/>
      <c r="BP658" s="85"/>
      <c r="BQ658" s="85"/>
      <c r="BR658" s="85"/>
      <c r="BS658" s="85"/>
      <c r="BT658" s="85"/>
      <c r="BU658" s="87"/>
      <c r="BV658" s="87"/>
      <c r="BW658" s="87"/>
      <c r="BX658" s="87"/>
      <c r="BY658" s="87"/>
      <c r="BZ658" s="87"/>
      <c r="CA658" s="90"/>
      <c r="CB658" s="90"/>
      <c r="CC658" s="90"/>
      <c r="CD658" s="90"/>
      <c r="CE658" s="90"/>
      <c r="CF658" s="90"/>
      <c r="CG658" s="85"/>
      <c r="CH658" s="85"/>
      <c r="CI658" s="85"/>
      <c r="CJ658" s="85"/>
      <c r="CK658" s="85"/>
      <c r="CL658" s="87"/>
      <c r="CM658" s="87"/>
      <c r="CN658" s="87"/>
      <c r="CO658" s="87"/>
      <c r="CP658" s="90"/>
      <c r="CQ658" s="90"/>
      <c r="CR658" s="90"/>
      <c r="CS658" s="90"/>
      <c r="CT658" s="85"/>
      <c r="CU658" s="85"/>
      <c r="CV658" s="85"/>
      <c r="CW658" s="85"/>
      <c r="CX658" s="85"/>
      <c r="CY658" s="85"/>
      <c r="CZ658" s="85"/>
      <c r="DA658" s="33">
        <f t="shared" si="9"/>
        <v>0</v>
      </c>
    </row>
    <row r="659" spans="36:105" ht="19" x14ac:dyDescent="0.25">
      <c r="AJ659" s="63"/>
      <c r="AK659" s="20"/>
      <c r="AL659" s="21"/>
      <c r="AM659" s="22"/>
      <c r="AN659" s="23"/>
      <c r="AO659" s="24"/>
      <c r="AP659" s="25"/>
      <c r="AQ659" s="26"/>
      <c r="AR659" s="27"/>
      <c r="AS659" s="192"/>
      <c r="AT659" s="111"/>
      <c r="AU659" s="193"/>
      <c r="AV659" s="140"/>
      <c r="AW659" s="118"/>
      <c r="AX659" s="141"/>
      <c r="AY659" s="149"/>
      <c r="AZ659" s="121"/>
      <c r="BA659" s="150"/>
      <c r="BB659" s="158"/>
      <c r="BC659" s="124"/>
      <c r="BD659" s="159"/>
      <c r="BE659" s="167"/>
      <c r="BF659" s="85"/>
      <c r="BG659" s="168"/>
      <c r="BH659" s="175"/>
      <c r="BI659" s="127"/>
      <c r="BJ659" s="176"/>
      <c r="BK659" s="184"/>
      <c r="BL659" s="130"/>
      <c r="BM659" s="185"/>
      <c r="BN659" s="69"/>
      <c r="BO659" s="85"/>
      <c r="BP659" s="85"/>
      <c r="BQ659" s="85"/>
      <c r="BR659" s="85"/>
      <c r="BS659" s="85"/>
      <c r="BT659" s="85"/>
      <c r="BU659" s="87"/>
      <c r="BV659" s="87"/>
      <c r="BW659" s="87"/>
      <c r="BX659" s="87"/>
      <c r="BY659" s="87"/>
      <c r="BZ659" s="87"/>
      <c r="CA659" s="90"/>
      <c r="CB659" s="90"/>
      <c r="CC659" s="90"/>
      <c r="CD659" s="90"/>
      <c r="CE659" s="90"/>
      <c r="CF659" s="90"/>
      <c r="CG659" s="85"/>
      <c r="CH659" s="85"/>
      <c r="CI659" s="85"/>
      <c r="CJ659" s="85"/>
      <c r="CK659" s="85"/>
      <c r="CL659" s="87"/>
      <c r="CM659" s="87"/>
      <c r="CN659" s="87"/>
      <c r="CO659" s="87"/>
      <c r="CP659" s="90"/>
      <c r="CQ659" s="90"/>
      <c r="CR659" s="90"/>
      <c r="CS659" s="90"/>
      <c r="CT659" s="85"/>
      <c r="CU659" s="85"/>
      <c r="CV659" s="85"/>
      <c r="CW659" s="85"/>
      <c r="CX659" s="85"/>
      <c r="CY659" s="85"/>
      <c r="CZ659" s="85"/>
      <c r="DA659" s="33">
        <f t="shared" si="9"/>
        <v>0</v>
      </c>
    </row>
    <row r="660" spans="36:105" ht="19" x14ac:dyDescent="0.25">
      <c r="AJ660" s="63"/>
      <c r="AK660" s="20"/>
      <c r="AL660" s="21"/>
      <c r="AM660" s="22"/>
      <c r="AN660" s="23"/>
      <c r="AO660" s="24"/>
      <c r="AP660" s="25"/>
      <c r="AQ660" s="26"/>
      <c r="AR660" s="27"/>
      <c r="AS660" s="192"/>
      <c r="AT660" s="111"/>
      <c r="AU660" s="193"/>
      <c r="AV660" s="140"/>
      <c r="AW660" s="118"/>
      <c r="AX660" s="141"/>
      <c r="AY660" s="149"/>
      <c r="AZ660" s="121"/>
      <c r="BA660" s="150"/>
      <c r="BB660" s="158"/>
      <c r="BC660" s="124"/>
      <c r="BD660" s="159"/>
      <c r="BE660" s="167"/>
      <c r="BF660" s="85"/>
      <c r="BG660" s="168"/>
      <c r="BH660" s="175"/>
      <c r="BI660" s="127"/>
      <c r="BJ660" s="176"/>
      <c r="BK660" s="184"/>
      <c r="BL660" s="130"/>
      <c r="BM660" s="185"/>
      <c r="BN660" s="69"/>
      <c r="BO660" s="85"/>
      <c r="BP660" s="85"/>
      <c r="BQ660" s="85"/>
      <c r="BR660" s="85"/>
      <c r="BS660" s="85"/>
      <c r="BT660" s="85"/>
      <c r="BU660" s="87"/>
      <c r="BV660" s="87"/>
      <c r="BW660" s="87"/>
      <c r="BX660" s="87"/>
      <c r="BY660" s="87"/>
      <c r="BZ660" s="87"/>
      <c r="CA660" s="90"/>
      <c r="CB660" s="90"/>
      <c r="CC660" s="90"/>
      <c r="CD660" s="90"/>
      <c r="CE660" s="90"/>
      <c r="CF660" s="90"/>
      <c r="CG660" s="85"/>
      <c r="CH660" s="85"/>
      <c r="CI660" s="85"/>
      <c r="CJ660" s="85"/>
      <c r="CK660" s="85"/>
      <c r="CL660" s="87"/>
      <c r="CM660" s="87"/>
      <c r="CN660" s="87"/>
      <c r="CO660" s="87"/>
      <c r="CP660" s="90"/>
      <c r="CQ660" s="90"/>
      <c r="CR660" s="90"/>
      <c r="CS660" s="90"/>
      <c r="CT660" s="85"/>
      <c r="CU660" s="85"/>
      <c r="CV660" s="85"/>
      <c r="CW660" s="85"/>
      <c r="CX660" s="85"/>
      <c r="CY660" s="85"/>
      <c r="CZ660" s="85"/>
      <c r="DA660" s="33">
        <f t="shared" si="9"/>
        <v>0</v>
      </c>
    </row>
    <row r="661" spans="36:105" ht="19" x14ac:dyDescent="0.25">
      <c r="AJ661" s="63"/>
      <c r="AK661" s="20"/>
      <c r="AL661" s="21"/>
      <c r="AM661" s="22"/>
      <c r="AN661" s="23"/>
      <c r="AO661" s="24"/>
      <c r="AP661" s="25"/>
      <c r="AQ661" s="26"/>
      <c r="AR661" s="27"/>
      <c r="AS661" s="192"/>
      <c r="AT661" s="111"/>
      <c r="AU661" s="193"/>
      <c r="AV661" s="140"/>
      <c r="AW661" s="118"/>
      <c r="AX661" s="141"/>
      <c r="AY661" s="149"/>
      <c r="AZ661" s="121"/>
      <c r="BA661" s="150"/>
      <c r="BB661" s="158"/>
      <c r="BC661" s="124"/>
      <c r="BD661" s="159"/>
      <c r="BE661" s="167"/>
      <c r="BF661" s="85"/>
      <c r="BG661" s="168"/>
      <c r="BH661" s="175"/>
      <c r="BI661" s="127"/>
      <c r="BJ661" s="176"/>
      <c r="BK661" s="184"/>
      <c r="BL661" s="130"/>
      <c r="BM661" s="185"/>
      <c r="BN661" s="69"/>
      <c r="BO661" s="85"/>
      <c r="BP661" s="85"/>
      <c r="BQ661" s="85"/>
      <c r="BR661" s="85"/>
      <c r="BS661" s="85"/>
      <c r="BT661" s="85"/>
      <c r="BU661" s="87"/>
      <c r="BV661" s="87"/>
      <c r="BW661" s="87"/>
      <c r="BX661" s="87"/>
      <c r="BY661" s="87"/>
      <c r="BZ661" s="87"/>
      <c r="CA661" s="90"/>
      <c r="CB661" s="90"/>
      <c r="CC661" s="90"/>
      <c r="CD661" s="90"/>
      <c r="CE661" s="90"/>
      <c r="CF661" s="90"/>
      <c r="CG661" s="85"/>
      <c r="CH661" s="85"/>
      <c r="CI661" s="85"/>
      <c r="CJ661" s="85"/>
      <c r="CK661" s="85"/>
      <c r="CL661" s="87"/>
      <c r="CM661" s="87"/>
      <c r="CN661" s="87"/>
      <c r="CO661" s="87"/>
      <c r="CP661" s="90"/>
      <c r="CQ661" s="90"/>
      <c r="CR661" s="90"/>
      <c r="CS661" s="90"/>
      <c r="CT661" s="85"/>
      <c r="CU661" s="85"/>
      <c r="CV661" s="85"/>
      <c r="CW661" s="85"/>
      <c r="CX661" s="85"/>
      <c r="CY661" s="85"/>
      <c r="CZ661" s="85"/>
      <c r="DA661" s="33">
        <f t="shared" si="9"/>
        <v>0</v>
      </c>
    </row>
    <row r="662" spans="36:105" ht="19" x14ac:dyDescent="0.25">
      <c r="AJ662" s="63"/>
      <c r="AK662" s="20"/>
      <c r="AL662" s="21"/>
      <c r="AM662" s="22"/>
      <c r="AN662" s="23"/>
      <c r="AO662" s="24"/>
      <c r="AP662" s="25"/>
      <c r="AQ662" s="26"/>
      <c r="AR662" s="27"/>
      <c r="AS662" s="192"/>
      <c r="AT662" s="111"/>
      <c r="AU662" s="193"/>
      <c r="AV662" s="140"/>
      <c r="AW662" s="118"/>
      <c r="AX662" s="141"/>
      <c r="AY662" s="149"/>
      <c r="AZ662" s="121"/>
      <c r="BA662" s="150"/>
      <c r="BB662" s="158"/>
      <c r="BC662" s="124"/>
      <c r="BD662" s="159"/>
      <c r="BE662" s="167"/>
      <c r="BF662" s="85"/>
      <c r="BG662" s="168"/>
      <c r="BH662" s="175"/>
      <c r="BI662" s="127"/>
      <c r="BJ662" s="176"/>
      <c r="BK662" s="184"/>
      <c r="BL662" s="130"/>
      <c r="BM662" s="185"/>
      <c r="BN662" s="69"/>
      <c r="BO662" s="85"/>
      <c r="BP662" s="85"/>
      <c r="BQ662" s="85"/>
      <c r="BR662" s="85"/>
      <c r="BS662" s="85"/>
      <c r="BT662" s="85"/>
      <c r="BU662" s="87"/>
      <c r="BV662" s="87"/>
      <c r="BW662" s="87"/>
      <c r="BX662" s="87"/>
      <c r="BY662" s="87"/>
      <c r="BZ662" s="87"/>
      <c r="CA662" s="90"/>
      <c r="CB662" s="90"/>
      <c r="CC662" s="90"/>
      <c r="CD662" s="90"/>
      <c r="CE662" s="90"/>
      <c r="CF662" s="90"/>
      <c r="CG662" s="85"/>
      <c r="CH662" s="85"/>
      <c r="CI662" s="85"/>
      <c r="CJ662" s="85"/>
      <c r="CK662" s="85"/>
      <c r="CL662" s="87"/>
      <c r="CM662" s="87"/>
      <c r="CN662" s="87"/>
      <c r="CO662" s="87"/>
      <c r="CP662" s="90"/>
      <c r="CQ662" s="90"/>
      <c r="CR662" s="90"/>
      <c r="CS662" s="90"/>
      <c r="CT662" s="85"/>
      <c r="CU662" s="85"/>
      <c r="CV662" s="85"/>
      <c r="CW662" s="85"/>
      <c r="CX662" s="85"/>
      <c r="CY662" s="85"/>
      <c r="CZ662" s="85"/>
      <c r="DA662" s="33">
        <f t="shared" si="9"/>
        <v>0</v>
      </c>
    </row>
    <row r="663" spans="36:105" ht="19" x14ac:dyDescent="0.25">
      <c r="AJ663" s="63"/>
      <c r="AK663" s="20"/>
      <c r="AL663" s="21"/>
      <c r="AM663" s="22"/>
      <c r="AN663" s="23"/>
      <c r="AO663" s="24"/>
      <c r="AP663" s="25"/>
      <c r="AQ663" s="26"/>
      <c r="AR663" s="27"/>
      <c r="AS663" s="192"/>
      <c r="AT663" s="111"/>
      <c r="AU663" s="193"/>
      <c r="AV663" s="140"/>
      <c r="AW663" s="118"/>
      <c r="AX663" s="141"/>
      <c r="AY663" s="149"/>
      <c r="AZ663" s="121"/>
      <c r="BA663" s="150"/>
      <c r="BB663" s="158"/>
      <c r="BC663" s="124"/>
      <c r="BD663" s="159"/>
      <c r="BE663" s="167"/>
      <c r="BF663" s="85"/>
      <c r="BG663" s="168"/>
      <c r="BH663" s="175"/>
      <c r="BI663" s="127"/>
      <c r="BJ663" s="176"/>
      <c r="BK663" s="184"/>
      <c r="BL663" s="130"/>
      <c r="BM663" s="185"/>
      <c r="BN663" s="69"/>
      <c r="BO663" s="85"/>
      <c r="BP663" s="85"/>
      <c r="BQ663" s="85"/>
      <c r="BR663" s="85"/>
      <c r="BS663" s="85"/>
      <c r="BT663" s="85"/>
      <c r="BU663" s="87"/>
      <c r="BV663" s="87"/>
      <c r="BW663" s="87"/>
      <c r="BX663" s="87"/>
      <c r="BY663" s="87"/>
      <c r="BZ663" s="87"/>
      <c r="CA663" s="90"/>
      <c r="CB663" s="90"/>
      <c r="CC663" s="90"/>
      <c r="CD663" s="90"/>
      <c r="CE663" s="90"/>
      <c r="CF663" s="90"/>
      <c r="CG663" s="85"/>
      <c r="CH663" s="85"/>
      <c r="CI663" s="85"/>
      <c r="CJ663" s="85"/>
      <c r="CK663" s="85"/>
      <c r="CL663" s="87"/>
      <c r="CM663" s="87"/>
      <c r="CN663" s="87"/>
      <c r="CO663" s="87"/>
      <c r="CP663" s="90"/>
      <c r="CQ663" s="90"/>
      <c r="CR663" s="90"/>
      <c r="CS663" s="90"/>
      <c r="CT663" s="85"/>
      <c r="CU663" s="85"/>
      <c r="CV663" s="85"/>
      <c r="CW663" s="85"/>
      <c r="CX663" s="85"/>
      <c r="CY663" s="85"/>
      <c r="CZ663" s="85"/>
      <c r="DA663" s="33">
        <f t="shared" si="9"/>
        <v>0</v>
      </c>
    </row>
    <row r="664" spans="36:105" ht="19" x14ac:dyDescent="0.25">
      <c r="AJ664" s="63"/>
      <c r="AK664" s="20"/>
      <c r="AL664" s="21"/>
      <c r="AM664" s="22"/>
      <c r="AN664" s="23"/>
      <c r="AO664" s="24"/>
      <c r="AP664" s="25"/>
      <c r="AQ664" s="26"/>
      <c r="AR664" s="27"/>
      <c r="AS664" s="192"/>
      <c r="AT664" s="111"/>
      <c r="AU664" s="193"/>
      <c r="AV664" s="140"/>
      <c r="AW664" s="118"/>
      <c r="AX664" s="141"/>
      <c r="AY664" s="149"/>
      <c r="AZ664" s="121"/>
      <c r="BA664" s="150"/>
      <c r="BB664" s="158"/>
      <c r="BC664" s="124"/>
      <c r="BD664" s="159"/>
      <c r="BE664" s="167"/>
      <c r="BF664" s="85"/>
      <c r="BG664" s="168"/>
      <c r="BH664" s="175"/>
      <c r="BI664" s="127"/>
      <c r="BJ664" s="176"/>
      <c r="BK664" s="184"/>
      <c r="BL664" s="130"/>
      <c r="BM664" s="185"/>
      <c r="BN664" s="69"/>
      <c r="BO664" s="85"/>
      <c r="BP664" s="85"/>
      <c r="BQ664" s="85"/>
      <c r="BR664" s="85"/>
      <c r="BS664" s="85"/>
      <c r="BT664" s="85"/>
      <c r="BU664" s="87"/>
      <c r="BV664" s="87"/>
      <c r="BW664" s="87"/>
      <c r="BX664" s="87"/>
      <c r="BY664" s="87"/>
      <c r="BZ664" s="87"/>
      <c r="CA664" s="90"/>
      <c r="CB664" s="90"/>
      <c r="CC664" s="90"/>
      <c r="CD664" s="90"/>
      <c r="CE664" s="90"/>
      <c r="CF664" s="90"/>
      <c r="CG664" s="85"/>
      <c r="CH664" s="85"/>
      <c r="CI664" s="85"/>
      <c r="CJ664" s="85"/>
      <c r="CK664" s="85"/>
      <c r="CL664" s="87"/>
      <c r="CM664" s="87"/>
      <c r="CN664" s="87"/>
      <c r="CO664" s="87"/>
      <c r="CP664" s="90"/>
      <c r="CQ664" s="90"/>
      <c r="CR664" s="90"/>
      <c r="CS664" s="90"/>
      <c r="CT664" s="85"/>
      <c r="CU664" s="85"/>
      <c r="CV664" s="85"/>
      <c r="CW664" s="85"/>
      <c r="CX664" s="85"/>
      <c r="CY664" s="85"/>
      <c r="CZ664" s="85"/>
      <c r="DA664" s="33">
        <f t="shared" si="9"/>
        <v>0</v>
      </c>
    </row>
    <row r="665" spans="36:105" ht="19" x14ac:dyDescent="0.25">
      <c r="AJ665" s="63"/>
      <c r="AK665" s="20"/>
      <c r="AL665" s="21"/>
      <c r="AM665" s="22"/>
      <c r="AN665" s="23"/>
      <c r="AO665" s="24"/>
      <c r="AP665" s="25"/>
      <c r="AQ665" s="26"/>
      <c r="AR665" s="27"/>
      <c r="AS665" s="192"/>
      <c r="AT665" s="111"/>
      <c r="AU665" s="193"/>
      <c r="AV665" s="140"/>
      <c r="AW665" s="118"/>
      <c r="AX665" s="141"/>
      <c r="AY665" s="149"/>
      <c r="AZ665" s="121"/>
      <c r="BA665" s="150"/>
      <c r="BB665" s="158"/>
      <c r="BC665" s="124"/>
      <c r="BD665" s="159"/>
      <c r="BE665" s="167"/>
      <c r="BF665" s="85"/>
      <c r="BG665" s="168"/>
      <c r="BH665" s="175"/>
      <c r="BI665" s="127"/>
      <c r="BJ665" s="176"/>
      <c r="BK665" s="184"/>
      <c r="BL665" s="130"/>
      <c r="BM665" s="185"/>
      <c r="BN665" s="69"/>
      <c r="BO665" s="85"/>
      <c r="BP665" s="85"/>
      <c r="BQ665" s="85"/>
      <c r="BR665" s="85"/>
      <c r="BS665" s="85"/>
      <c r="BT665" s="85"/>
      <c r="BU665" s="87"/>
      <c r="BV665" s="87"/>
      <c r="BW665" s="87"/>
      <c r="BX665" s="87"/>
      <c r="BY665" s="87"/>
      <c r="BZ665" s="87"/>
      <c r="CA665" s="90"/>
      <c r="CB665" s="90"/>
      <c r="CC665" s="90"/>
      <c r="CD665" s="90"/>
      <c r="CE665" s="90"/>
      <c r="CF665" s="90"/>
      <c r="CG665" s="85"/>
      <c r="CH665" s="85"/>
      <c r="CI665" s="85"/>
      <c r="CJ665" s="85"/>
      <c r="CK665" s="85"/>
      <c r="CL665" s="87"/>
      <c r="CM665" s="87"/>
      <c r="CN665" s="87"/>
      <c r="CO665" s="87"/>
      <c r="CP665" s="90"/>
      <c r="CQ665" s="90"/>
      <c r="CR665" s="90"/>
      <c r="CS665" s="90"/>
      <c r="CT665" s="85"/>
      <c r="CU665" s="85"/>
      <c r="CV665" s="85"/>
      <c r="CW665" s="85"/>
      <c r="CX665" s="85"/>
      <c r="CY665" s="85"/>
      <c r="CZ665" s="85"/>
      <c r="DA665" s="33">
        <f t="shared" si="9"/>
        <v>0</v>
      </c>
    </row>
    <row r="666" spans="36:105" ht="19" x14ac:dyDescent="0.25">
      <c r="AJ666" s="63"/>
      <c r="AK666" s="20"/>
      <c r="AL666" s="21"/>
      <c r="AM666" s="22"/>
      <c r="AN666" s="23"/>
      <c r="AO666" s="24"/>
      <c r="AP666" s="25"/>
      <c r="AQ666" s="26"/>
      <c r="AR666" s="27"/>
      <c r="AS666" s="192"/>
      <c r="AT666" s="111"/>
      <c r="AU666" s="193"/>
      <c r="AV666" s="140"/>
      <c r="AW666" s="118"/>
      <c r="AX666" s="141"/>
      <c r="AY666" s="149"/>
      <c r="AZ666" s="121"/>
      <c r="BA666" s="150"/>
      <c r="BB666" s="158"/>
      <c r="BC666" s="124"/>
      <c r="BD666" s="159"/>
      <c r="BE666" s="167"/>
      <c r="BF666" s="85"/>
      <c r="BG666" s="168"/>
      <c r="BH666" s="175"/>
      <c r="BI666" s="127"/>
      <c r="BJ666" s="176"/>
      <c r="BK666" s="184"/>
      <c r="BL666" s="130"/>
      <c r="BM666" s="185"/>
      <c r="BN666" s="69"/>
      <c r="BO666" s="85"/>
      <c r="BP666" s="85"/>
      <c r="BQ666" s="85"/>
      <c r="BR666" s="85"/>
      <c r="BS666" s="85"/>
      <c r="BT666" s="85"/>
      <c r="BU666" s="87"/>
      <c r="BV666" s="87"/>
      <c r="BW666" s="87"/>
      <c r="BX666" s="87"/>
      <c r="BY666" s="87"/>
      <c r="BZ666" s="87"/>
      <c r="CA666" s="90"/>
      <c r="CB666" s="90"/>
      <c r="CC666" s="90"/>
      <c r="CD666" s="90"/>
      <c r="CE666" s="90"/>
      <c r="CF666" s="90"/>
      <c r="CG666" s="85"/>
      <c r="CH666" s="85"/>
      <c r="CI666" s="85"/>
      <c r="CJ666" s="85"/>
      <c r="CK666" s="85"/>
      <c r="CL666" s="87"/>
      <c r="CM666" s="87"/>
      <c r="CN666" s="87"/>
      <c r="CO666" s="87"/>
      <c r="CP666" s="90"/>
      <c r="CQ666" s="90"/>
      <c r="CR666" s="90"/>
      <c r="CS666" s="90"/>
      <c r="CT666" s="85"/>
      <c r="CU666" s="85"/>
      <c r="CV666" s="85"/>
      <c r="CW666" s="85"/>
      <c r="CX666" s="85"/>
      <c r="CY666" s="85"/>
      <c r="CZ666" s="85"/>
      <c r="DA666" s="33">
        <f t="shared" si="9"/>
        <v>0</v>
      </c>
    </row>
    <row r="667" spans="36:105" ht="19" x14ac:dyDescent="0.25">
      <c r="AJ667" s="63"/>
      <c r="AK667" s="20"/>
      <c r="AL667" s="21"/>
      <c r="AM667" s="22"/>
      <c r="AN667" s="23"/>
      <c r="AO667" s="24"/>
      <c r="AP667" s="25"/>
      <c r="AQ667" s="26"/>
      <c r="AR667" s="27"/>
      <c r="AS667" s="192"/>
      <c r="AT667" s="111"/>
      <c r="AU667" s="193"/>
      <c r="AV667" s="140"/>
      <c r="AW667" s="118"/>
      <c r="AX667" s="141"/>
      <c r="AY667" s="149"/>
      <c r="AZ667" s="121"/>
      <c r="BA667" s="150"/>
      <c r="BB667" s="158"/>
      <c r="BC667" s="124"/>
      <c r="BD667" s="159"/>
      <c r="BE667" s="167"/>
      <c r="BF667" s="85"/>
      <c r="BG667" s="168"/>
      <c r="BH667" s="175"/>
      <c r="BI667" s="127"/>
      <c r="BJ667" s="176"/>
      <c r="BK667" s="184"/>
      <c r="BL667" s="130"/>
      <c r="BM667" s="185"/>
      <c r="BN667" s="69"/>
      <c r="BO667" s="85"/>
      <c r="BP667" s="85"/>
      <c r="BQ667" s="85"/>
      <c r="BR667" s="85"/>
      <c r="BS667" s="85"/>
      <c r="BT667" s="85"/>
      <c r="BU667" s="87"/>
      <c r="BV667" s="87"/>
      <c r="BW667" s="87"/>
      <c r="BX667" s="87"/>
      <c r="BY667" s="87"/>
      <c r="BZ667" s="87"/>
      <c r="CA667" s="90"/>
      <c r="CB667" s="90"/>
      <c r="CC667" s="90"/>
      <c r="CD667" s="90"/>
      <c r="CE667" s="90"/>
      <c r="CF667" s="90"/>
      <c r="CG667" s="85"/>
      <c r="CH667" s="85"/>
      <c r="CI667" s="85"/>
      <c r="CJ667" s="85"/>
      <c r="CK667" s="85"/>
      <c r="CL667" s="87"/>
      <c r="CM667" s="87"/>
      <c r="CN667" s="87"/>
      <c r="CO667" s="87"/>
      <c r="CP667" s="90"/>
      <c r="CQ667" s="90"/>
      <c r="CR667" s="90"/>
      <c r="CS667" s="90"/>
      <c r="CT667" s="85"/>
      <c r="CU667" s="85"/>
      <c r="CV667" s="85"/>
      <c r="CW667" s="85"/>
      <c r="CX667" s="85"/>
      <c r="CY667" s="85"/>
      <c r="CZ667" s="85"/>
      <c r="DA667" s="33">
        <f t="shared" si="9"/>
        <v>0</v>
      </c>
    </row>
  </sheetData>
  <autoFilter ref="A2:DA667" xr:uid="{00000000-0009-0000-0000-000000000000}"/>
  <mergeCells count="2">
    <mergeCell ref="O1:Q1"/>
    <mergeCell ref="AB1:AI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1:F10"/>
  <sheetViews>
    <sheetView workbookViewId="0">
      <selection activeCell="F10" sqref="F10"/>
    </sheetView>
  </sheetViews>
  <sheetFormatPr baseColWidth="10" defaultRowHeight="15" x14ac:dyDescent="0.2"/>
  <sheetData>
    <row r="1" spans="5:6" x14ac:dyDescent="0.2">
      <c r="E1" t="s">
        <v>22</v>
      </c>
      <c r="F1">
        <f>COUNTIF(donnée!BN:BN,"barrett")</f>
        <v>0</v>
      </c>
    </row>
    <row r="2" spans="5:6" x14ac:dyDescent="0.2">
      <c r="E2" t="s">
        <v>32</v>
      </c>
      <c r="F2">
        <f>COUNTIF(donnée!BN:BN,"haigis")</f>
        <v>0</v>
      </c>
    </row>
    <row r="3" spans="5:6" x14ac:dyDescent="0.2">
      <c r="E3" t="s">
        <v>26</v>
      </c>
      <c r="F3">
        <f>COUNTIF(donnée!BN:BN,"SRK/T")</f>
        <v>0</v>
      </c>
    </row>
    <row r="4" spans="5:6" x14ac:dyDescent="0.2">
      <c r="E4" t="s">
        <v>83</v>
      </c>
      <c r="F4">
        <f>COUNTIF(donnée!BN:BN,"Zeiss")</f>
        <v>0</v>
      </c>
    </row>
    <row r="5" spans="5:6" x14ac:dyDescent="0.2">
      <c r="E5" t="s">
        <v>84</v>
      </c>
      <c r="F5">
        <f>COUNTIF(donnée!BN:BN,"Cooke k6")</f>
        <v>0</v>
      </c>
    </row>
    <row r="6" spans="5:6" x14ac:dyDescent="0.2">
      <c r="E6" t="s">
        <v>76</v>
      </c>
      <c r="F6">
        <f>COUNTIF(donnée!BN:BN,"EVO")</f>
        <v>0</v>
      </c>
    </row>
    <row r="7" spans="5:6" x14ac:dyDescent="0.2">
      <c r="E7" t="s">
        <v>77</v>
      </c>
      <c r="F7">
        <f>COUNTIF(donnée!BN:BN,"HILL-RBF")</f>
        <v>0</v>
      </c>
    </row>
    <row r="8" spans="5:6" x14ac:dyDescent="0.2">
      <c r="E8" t="s">
        <v>78</v>
      </c>
      <c r="F8">
        <f>COUNTIF(donnée!BN:BN,"Hoofer QST")</f>
        <v>0</v>
      </c>
    </row>
    <row r="9" spans="5:6" x14ac:dyDescent="0.2">
      <c r="E9" t="s">
        <v>79</v>
      </c>
      <c r="F9">
        <f>COUNTIF(donnée!BN:BN,"KANE")</f>
        <v>0</v>
      </c>
    </row>
    <row r="10" spans="5:6" x14ac:dyDescent="0.2">
      <c r="E10" t="s">
        <v>80</v>
      </c>
      <c r="F10">
        <f>COUNTIF(donnée!BN:BN,"Pearl DGS")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23"/>
  <sheetViews>
    <sheetView workbookViewId="0">
      <selection activeCell="P2" sqref="P2"/>
    </sheetView>
  </sheetViews>
  <sheetFormatPr baseColWidth="10" defaultRowHeight="15" x14ac:dyDescent="0.2"/>
  <cols>
    <col min="1" max="1" width="12.5" bestFit="1" customWidth="1"/>
    <col min="3" max="3" width="12.33203125" bestFit="1" customWidth="1"/>
    <col min="10" max="10" width="12.5" bestFit="1" customWidth="1"/>
    <col min="11" max="13" width="11.5" style="199"/>
    <col min="14" max="15" width="12.5" style="199" bestFit="1" customWidth="1"/>
    <col min="16" max="16" width="12.1640625" style="199" bestFit="1" customWidth="1"/>
    <col min="17" max="18" width="11.83203125" style="199" bestFit="1" customWidth="1"/>
    <col min="19" max="20" width="11.5" style="199"/>
  </cols>
  <sheetData>
    <row r="1" spans="1:24" ht="16" thickBot="1" x14ac:dyDescent="0.25">
      <c r="K1" s="196" t="s">
        <v>100</v>
      </c>
      <c r="L1" s="196" t="s">
        <v>60</v>
      </c>
      <c r="M1" s="196" t="s">
        <v>61</v>
      </c>
      <c r="N1" s="196" t="s">
        <v>62</v>
      </c>
      <c r="O1" s="196" t="s">
        <v>63</v>
      </c>
      <c r="P1" s="196" t="s">
        <v>64</v>
      </c>
      <c r="Q1" s="196" t="s">
        <v>65</v>
      </c>
      <c r="R1" s="196" t="s">
        <v>66</v>
      </c>
      <c r="S1" s="196" t="s">
        <v>67</v>
      </c>
      <c r="T1" s="196" t="s">
        <v>68</v>
      </c>
      <c r="U1" s="219" t="s">
        <v>103</v>
      </c>
      <c r="V1" s="220"/>
      <c r="W1" s="220"/>
      <c r="X1" s="221"/>
    </row>
    <row r="2" spans="1:24" x14ac:dyDescent="0.2">
      <c r="K2" s="200" t="s">
        <v>22</v>
      </c>
      <c r="L2" s="197" t="e">
        <f>B6*100</f>
        <v>#DIV/0!</v>
      </c>
      <c r="M2" s="197" t="e">
        <f>B7*100</f>
        <v>#DIV/0!</v>
      </c>
      <c r="N2" s="197" t="e">
        <f>B8*100</f>
        <v>#DIV/0!</v>
      </c>
      <c r="O2" s="197" t="e">
        <f>B9*100</f>
        <v>#DIV/0!</v>
      </c>
      <c r="P2" s="197" t="e">
        <f>B10*100</f>
        <v>#DIV/0!</v>
      </c>
      <c r="Q2" s="197" t="e">
        <f>B11*100</f>
        <v>#DIV/0!</v>
      </c>
      <c r="R2" s="197" t="e">
        <f>B12*100</f>
        <v>#DIV/0!</v>
      </c>
      <c r="S2" s="197" t="e">
        <f>B13*100</f>
        <v>#DIV/0!</v>
      </c>
      <c r="T2" s="197" t="e">
        <f>B14*100</f>
        <v>#DIV/0!</v>
      </c>
      <c r="U2" s="222"/>
      <c r="V2" s="223"/>
      <c r="W2" s="223"/>
      <c r="X2" s="224"/>
    </row>
    <row r="3" spans="1:24" x14ac:dyDescent="0.2">
      <c r="K3" s="201" t="s">
        <v>32</v>
      </c>
      <c r="L3" s="198" t="e">
        <f>B18*100</f>
        <v>#DIV/0!</v>
      </c>
      <c r="M3" s="198" t="e">
        <f>B19*100</f>
        <v>#DIV/0!</v>
      </c>
      <c r="N3" s="198" t="e">
        <f>B20*100</f>
        <v>#DIV/0!</v>
      </c>
      <c r="O3" s="198" t="e">
        <f>B21*100</f>
        <v>#DIV/0!</v>
      </c>
      <c r="P3" s="198" t="e">
        <f>B22*100</f>
        <v>#DIV/0!</v>
      </c>
      <c r="Q3" s="198" t="e">
        <f>B23*100</f>
        <v>#DIV/0!</v>
      </c>
      <c r="R3" s="198" t="e">
        <f>B24*100</f>
        <v>#DIV/0!</v>
      </c>
      <c r="S3" s="198" t="e">
        <f>B25*100</f>
        <v>#DIV/0!</v>
      </c>
      <c r="T3" s="198" t="e">
        <f>B26*100</f>
        <v>#DIV/0!</v>
      </c>
      <c r="U3" s="222"/>
      <c r="V3" s="223"/>
      <c r="W3" s="223"/>
      <c r="X3" s="224"/>
    </row>
    <row r="4" spans="1:24" ht="19" x14ac:dyDescent="0.25">
      <c r="A4" s="2" t="s">
        <v>69</v>
      </c>
      <c r="K4" s="201" t="s">
        <v>26</v>
      </c>
      <c r="L4" s="198" t="e">
        <f>B30*100</f>
        <v>#DIV/0!</v>
      </c>
      <c r="M4" s="198" t="e">
        <f>B31*100</f>
        <v>#DIV/0!</v>
      </c>
      <c r="N4" s="198" t="e">
        <f>B32*100</f>
        <v>#DIV/0!</v>
      </c>
      <c r="O4" s="198" t="e">
        <f>B33*100</f>
        <v>#DIV/0!</v>
      </c>
      <c r="P4" s="198" t="e">
        <f>B34*100</f>
        <v>#DIV/0!</v>
      </c>
      <c r="Q4" s="198" t="e">
        <f>B35*100</f>
        <v>#DIV/0!</v>
      </c>
      <c r="R4" s="198" t="e">
        <f>B36*100</f>
        <v>#DIV/0!</v>
      </c>
      <c r="S4" s="198" t="e">
        <f>B37*100</f>
        <v>#DIV/0!</v>
      </c>
      <c r="T4" s="198" t="e">
        <f>B38*100</f>
        <v>#DIV/0!</v>
      </c>
      <c r="U4" s="222"/>
      <c r="V4" s="223"/>
      <c r="W4" s="223"/>
      <c r="X4" s="224"/>
    </row>
    <row r="5" spans="1:24" x14ac:dyDescent="0.2">
      <c r="K5" s="201" t="s">
        <v>99</v>
      </c>
      <c r="L5" s="198" t="e">
        <f>B42*100</f>
        <v>#DIV/0!</v>
      </c>
      <c r="M5" s="198" t="e">
        <f>B43*100</f>
        <v>#DIV/0!</v>
      </c>
      <c r="N5" s="198" t="e">
        <f>B44*100</f>
        <v>#DIV/0!</v>
      </c>
      <c r="O5" s="198" t="e">
        <f>B45*100</f>
        <v>#DIV/0!</v>
      </c>
      <c r="P5" s="198" t="e">
        <f>B46*100</f>
        <v>#DIV/0!</v>
      </c>
      <c r="Q5" s="198" t="e">
        <f>B47*100</f>
        <v>#DIV/0!</v>
      </c>
      <c r="R5" s="198" t="e">
        <f>B48*100</f>
        <v>#DIV/0!</v>
      </c>
      <c r="S5" s="198" t="e">
        <f>B49*100</f>
        <v>#DIV/0!</v>
      </c>
      <c r="T5" s="198" t="e">
        <f>B50*100</f>
        <v>#DIV/0!</v>
      </c>
      <c r="U5" s="222"/>
      <c r="V5" s="223"/>
      <c r="W5" s="223"/>
      <c r="X5" s="224"/>
    </row>
    <row r="6" spans="1:24" x14ac:dyDescent="0.2">
      <c r="A6" t="s">
        <v>60</v>
      </c>
      <c r="B6" s="108" t="e">
        <f>C6/C15</f>
        <v>#DIV/0!</v>
      </c>
      <c r="C6">
        <f>COUNTIFS(donnée!AK:AK,"&gt;=1,0")</f>
        <v>0</v>
      </c>
      <c r="K6" s="201" t="s">
        <v>75</v>
      </c>
      <c r="L6" s="198" t="e">
        <f>B54*100</f>
        <v>#DIV/0!</v>
      </c>
      <c r="M6" s="198" t="e">
        <f>B55*100</f>
        <v>#DIV/0!</v>
      </c>
      <c r="N6" s="198" t="e">
        <f>B56*100</f>
        <v>#DIV/0!</v>
      </c>
      <c r="O6" s="198" t="e">
        <f>B57*100</f>
        <v>#DIV/0!</v>
      </c>
      <c r="P6" s="198" t="e">
        <f>B58*100</f>
        <v>#DIV/0!</v>
      </c>
      <c r="Q6" s="198" t="e">
        <f>B59*100</f>
        <v>#DIV/0!</v>
      </c>
      <c r="R6" s="198" t="e">
        <f>B60*100</f>
        <v>#DIV/0!</v>
      </c>
      <c r="S6" s="198" t="e">
        <f>B61*100</f>
        <v>#DIV/0!</v>
      </c>
      <c r="T6" s="198" t="e">
        <f>B62*100</f>
        <v>#DIV/0!</v>
      </c>
      <c r="U6" s="222"/>
      <c r="V6" s="223"/>
      <c r="W6" s="223"/>
      <c r="X6" s="224"/>
    </row>
    <row r="7" spans="1:24" x14ac:dyDescent="0.2">
      <c r="A7" t="s">
        <v>61</v>
      </c>
      <c r="B7" s="108" t="e">
        <f>C7/(C15)</f>
        <v>#DIV/0!</v>
      </c>
      <c r="C7">
        <f>COUNTIFS(donnée!AK:AK,"&gt;=0,76",donnée!AK:AK,"&lt;=1,0")</f>
        <v>0</v>
      </c>
      <c r="K7" s="201" t="s">
        <v>76</v>
      </c>
      <c r="L7" s="198" t="e">
        <f>B66*100</f>
        <v>#DIV/0!</v>
      </c>
      <c r="M7" s="198" t="e">
        <f>B67*100</f>
        <v>#DIV/0!</v>
      </c>
      <c r="N7" s="198" t="e">
        <f>B68*100</f>
        <v>#DIV/0!</v>
      </c>
      <c r="O7" s="198" t="e">
        <f>B69*100</f>
        <v>#DIV/0!</v>
      </c>
      <c r="P7" s="198" t="e">
        <f>B70*100</f>
        <v>#DIV/0!</v>
      </c>
      <c r="Q7" s="198" t="e">
        <f>B71*100</f>
        <v>#DIV/0!</v>
      </c>
      <c r="R7" s="198" t="e">
        <f>B72*100</f>
        <v>#DIV/0!</v>
      </c>
      <c r="S7" s="198" t="e">
        <f>B73*100</f>
        <v>#DIV/0!</v>
      </c>
      <c r="T7" s="198" t="e">
        <f>B74*100</f>
        <v>#DIV/0!</v>
      </c>
      <c r="U7" s="222"/>
      <c r="V7" s="223"/>
      <c r="W7" s="223"/>
      <c r="X7" s="224"/>
    </row>
    <row r="8" spans="1:24" x14ac:dyDescent="0.2">
      <c r="A8" t="s">
        <v>62</v>
      </c>
      <c r="B8" s="108" t="e">
        <f>C8/(C15)</f>
        <v>#DIV/0!</v>
      </c>
      <c r="C8">
        <f>COUNTIFS(donnée!AK:AK,"&gt;=+0,51",donnée!AK:AK,"&lt;=+0,75")</f>
        <v>0</v>
      </c>
      <c r="K8" s="201" t="s">
        <v>77</v>
      </c>
      <c r="L8" s="198" t="e">
        <f>B78*100</f>
        <v>#DIV/0!</v>
      </c>
      <c r="M8" s="198" t="e">
        <f>B79*100</f>
        <v>#DIV/0!</v>
      </c>
      <c r="N8" s="198" t="e">
        <f>B80*100</f>
        <v>#DIV/0!</v>
      </c>
      <c r="O8" s="198" t="e">
        <f>B81*100</f>
        <v>#DIV/0!</v>
      </c>
      <c r="P8" s="198" t="e">
        <f>B82*100</f>
        <v>#DIV/0!</v>
      </c>
      <c r="Q8" s="198" t="e">
        <f>B83*100</f>
        <v>#DIV/0!</v>
      </c>
      <c r="R8" s="198" t="e">
        <f>B84*100</f>
        <v>#DIV/0!</v>
      </c>
      <c r="S8" s="198" t="e">
        <f>B85*100</f>
        <v>#DIV/0!</v>
      </c>
      <c r="T8" s="198" t="e">
        <f>B86*100</f>
        <v>#DIV/0!</v>
      </c>
      <c r="U8" s="222"/>
      <c r="V8" s="223"/>
      <c r="W8" s="223"/>
      <c r="X8" s="224"/>
    </row>
    <row r="9" spans="1:24" x14ac:dyDescent="0.2">
      <c r="A9" t="s">
        <v>63</v>
      </c>
      <c r="B9" s="108" t="e">
        <f>C9/(C15)</f>
        <v>#DIV/0!</v>
      </c>
      <c r="C9">
        <f>COUNTIFS(donnée!AK:AK,"&gt;=+0,26",donnée!AK:AK,"&lt;=+0,50")</f>
        <v>0</v>
      </c>
      <c r="K9" s="201" t="s">
        <v>78</v>
      </c>
      <c r="L9" s="198" t="e">
        <f>B90*100</f>
        <v>#DIV/0!</v>
      </c>
      <c r="M9" s="198" t="e">
        <f>B91*100</f>
        <v>#DIV/0!</v>
      </c>
      <c r="N9" s="198" t="e">
        <f>B92*100</f>
        <v>#DIV/0!</v>
      </c>
      <c r="O9" s="198" t="e">
        <f>B93*100</f>
        <v>#DIV/0!</v>
      </c>
      <c r="P9" s="198" t="e">
        <f>B94*100</f>
        <v>#DIV/0!</v>
      </c>
      <c r="Q9" s="198" t="e">
        <f>B95*100</f>
        <v>#DIV/0!</v>
      </c>
      <c r="R9" s="198" t="e">
        <f>B96*100</f>
        <v>#DIV/0!</v>
      </c>
      <c r="S9" s="198" t="e">
        <f>B97*100</f>
        <v>#DIV/0!</v>
      </c>
      <c r="T9" s="198" t="e">
        <f>B98*100</f>
        <v>#DIV/0!</v>
      </c>
      <c r="U9" s="222"/>
      <c r="V9" s="223"/>
      <c r="W9" s="223"/>
      <c r="X9" s="224"/>
    </row>
    <row r="10" spans="1:24" x14ac:dyDescent="0.2">
      <c r="A10" t="s">
        <v>64</v>
      </c>
      <c r="B10" s="108" t="e">
        <f>C10/(C15)</f>
        <v>#DIV/0!</v>
      </c>
      <c r="C10">
        <f>COUNTIFS(donnée!AK:AK,"&gt;=-0,25",donnée!AK:AK,"&lt;=+0,25")</f>
        <v>0</v>
      </c>
      <c r="K10" s="201" t="s">
        <v>79</v>
      </c>
      <c r="L10" s="198">
        <f>C102*100</f>
        <v>0</v>
      </c>
      <c r="M10" s="198">
        <f>C103*100</f>
        <v>0</v>
      </c>
      <c r="N10" s="198">
        <f>C104*100</f>
        <v>0</v>
      </c>
      <c r="O10" s="198">
        <f>C105*100</f>
        <v>0</v>
      </c>
      <c r="P10" s="198">
        <f>C106*100</f>
        <v>0</v>
      </c>
      <c r="Q10" s="198">
        <f>C107*100</f>
        <v>0</v>
      </c>
      <c r="R10" s="198">
        <f>C108*100</f>
        <v>0</v>
      </c>
      <c r="S10" s="198">
        <f>C109*100</f>
        <v>0</v>
      </c>
      <c r="T10" s="198">
        <f>C110*100</f>
        <v>0</v>
      </c>
      <c r="U10" s="222"/>
      <c r="V10" s="223"/>
      <c r="W10" s="223"/>
      <c r="X10" s="224"/>
    </row>
    <row r="11" spans="1:24" ht="16" thickBot="1" x14ac:dyDescent="0.25">
      <c r="A11" t="s">
        <v>65</v>
      </c>
      <c r="B11" s="108" t="e">
        <f>C11/(C15)</f>
        <v>#DIV/0!</v>
      </c>
      <c r="C11">
        <f>COUNTIFS(donnée!AK:AK,"&gt;=-0,50",donnée!AK:AK,"&lt;=-0,26")</f>
        <v>0</v>
      </c>
      <c r="K11" s="203" t="s">
        <v>80</v>
      </c>
      <c r="L11" s="204" t="e">
        <f>B114*100</f>
        <v>#DIV/0!</v>
      </c>
      <c r="M11" s="204" t="e">
        <f>B115*100</f>
        <v>#DIV/0!</v>
      </c>
      <c r="N11" s="204" t="e">
        <f>B116*100</f>
        <v>#DIV/0!</v>
      </c>
      <c r="O11" s="204" t="e">
        <f>B117*100</f>
        <v>#DIV/0!</v>
      </c>
      <c r="P11" s="204" t="e">
        <f>B118*100</f>
        <v>#DIV/0!</v>
      </c>
      <c r="Q11" s="204" t="e">
        <f>B119*100</f>
        <v>#DIV/0!</v>
      </c>
      <c r="R11" s="204" t="e">
        <f>B120*100</f>
        <v>#DIV/0!</v>
      </c>
      <c r="S11" s="204" t="e">
        <f>B121*100</f>
        <v>#DIV/0!</v>
      </c>
      <c r="T11" s="204" t="e">
        <f>B122*100</f>
        <v>#DIV/0!</v>
      </c>
      <c r="U11" s="225"/>
      <c r="V11" s="226"/>
      <c r="W11" s="226"/>
      <c r="X11" s="227"/>
    </row>
    <row r="12" spans="1:24" x14ac:dyDescent="0.2">
      <c r="A12" t="s">
        <v>66</v>
      </c>
      <c r="B12" s="108" t="e">
        <f>C12/(C15)</f>
        <v>#DIV/0!</v>
      </c>
      <c r="C12">
        <f>COUNTIFS(donnée!AK:AK,"&gt;=-0,75",donnée!AK:AK,"&lt;=-0,51")</f>
        <v>0</v>
      </c>
    </row>
    <row r="13" spans="1:24" x14ac:dyDescent="0.2">
      <c r="A13" t="s">
        <v>67</v>
      </c>
      <c r="B13" s="108" t="e">
        <f>C13/(C15)</f>
        <v>#DIV/0!</v>
      </c>
      <c r="C13">
        <f>COUNTIFS(donnée!AK:AK,"&gt;=-1,0",donnée!AK:AK,"&lt;=-0,76")</f>
        <v>0</v>
      </c>
    </row>
    <row r="14" spans="1:24" x14ac:dyDescent="0.2">
      <c r="A14" t="s">
        <v>68</v>
      </c>
      <c r="B14" s="108" t="e">
        <f>C14/(C15)</f>
        <v>#DIV/0!</v>
      </c>
      <c r="C14">
        <f>COUNTIFS(donnée!AK:AK,"&lt;=-1,0")</f>
        <v>0</v>
      </c>
    </row>
    <row r="15" spans="1:24" ht="16" x14ac:dyDescent="0.2">
      <c r="A15" s="107" t="s">
        <v>73</v>
      </c>
      <c r="B15" s="108" t="e">
        <f>SUM(B6:B14)</f>
        <v>#DIV/0!</v>
      </c>
      <c r="C15" s="107">
        <f>SUM(C6:C14)</f>
        <v>0</v>
      </c>
    </row>
    <row r="16" spans="1:24" ht="19" x14ac:dyDescent="0.25">
      <c r="A16" s="2" t="s">
        <v>70</v>
      </c>
    </row>
    <row r="18" spans="1:12" x14ac:dyDescent="0.2">
      <c r="A18" t="s">
        <v>60</v>
      </c>
      <c r="B18" s="108" t="e">
        <f>C18/(C27)</f>
        <v>#DIV/0!</v>
      </c>
      <c r="C18">
        <f>COUNTIFS(donnée!AN:AN,"&gt;=1,0")</f>
        <v>0</v>
      </c>
    </row>
    <row r="19" spans="1:12" x14ac:dyDescent="0.2">
      <c r="A19" t="s">
        <v>61</v>
      </c>
      <c r="B19" s="108" t="e">
        <f>C19/(C27)</f>
        <v>#DIV/0!</v>
      </c>
      <c r="C19">
        <f>COUNTIFS(donnée!AN:AN,"&gt;=0,76",donnée!AN:AN,"&lt;=1,0")</f>
        <v>0</v>
      </c>
    </row>
    <row r="20" spans="1:12" x14ac:dyDescent="0.2">
      <c r="A20" t="s">
        <v>62</v>
      </c>
      <c r="B20" s="108" t="e">
        <f>C20/(C27)</f>
        <v>#DIV/0!</v>
      </c>
      <c r="C20">
        <f>COUNTIFS(donnée!AN:AN,"&gt;=+0,51",donnée!AN:AN,"&lt;=+0,75")</f>
        <v>0</v>
      </c>
    </row>
    <row r="21" spans="1:12" x14ac:dyDescent="0.2">
      <c r="A21" t="s">
        <v>63</v>
      </c>
      <c r="B21" s="108" t="e">
        <f>C21/(C27)</f>
        <v>#DIV/0!</v>
      </c>
      <c r="C21">
        <f>COUNTIFS(donnée!AN:AN,"&gt;=+0,26",donnée!AN:AN,"&lt;=+0,50")</f>
        <v>0</v>
      </c>
      <c r="L21" s="202"/>
    </row>
    <row r="22" spans="1:12" x14ac:dyDescent="0.2">
      <c r="A22" t="s">
        <v>64</v>
      </c>
      <c r="B22" s="108" t="e">
        <f>C22/(C27)</f>
        <v>#DIV/0!</v>
      </c>
      <c r="C22">
        <f>COUNTIFS(donnée!AN:AN,"&gt;=-0,25",donnée!AN:AN,"&lt;=+0,25")</f>
        <v>0</v>
      </c>
      <c r="L22" s="202"/>
    </row>
    <row r="23" spans="1:12" x14ac:dyDescent="0.2">
      <c r="A23" t="s">
        <v>65</v>
      </c>
      <c r="B23" s="108" t="e">
        <f>C23/(C27)</f>
        <v>#DIV/0!</v>
      </c>
      <c r="C23">
        <f>COUNTIFS(donnée!AN:AN,"&gt;=-0,50",donnée!AN:AN,"&lt;=-0,26")</f>
        <v>0</v>
      </c>
      <c r="L23" s="202"/>
    </row>
    <row r="24" spans="1:12" x14ac:dyDescent="0.2">
      <c r="A24" t="s">
        <v>66</v>
      </c>
      <c r="B24" s="108" t="e">
        <f>C24/(C27)</f>
        <v>#DIV/0!</v>
      </c>
      <c r="C24">
        <f>COUNTIFS(donnée!AN:AN,"&gt;=-0,75",donnée!AN:AN,"&lt;=-0,51")</f>
        <v>0</v>
      </c>
      <c r="L24" s="202"/>
    </row>
    <row r="25" spans="1:12" x14ac:dyDescent="0.2">
      <c r="A25" t="s">
        <v>67</v>
      </c>
      <c r="B25" s="108" t="e">
        <f>C25/(C27)</f>
        <v>#DIV/0!</v>
      </c>
      <c r="C25">
        <f>COUNTIFS(donnée!AN:AN,"&gt;=-1,0",donnée!AN:AN,"&lt;=-0,76")</f>
        <v>0</v>
      </c>
      <c r="L25" s="202"/>
    </row>
    <row r="26" spans="1:12" x14ac:dyDescent="0.2">
      <c r="A26" t="s">
        <v>68</v>
      </c>
      <c r="B26" s="108" t="e">
        <f>C26/(C27)</f>
        <v>#DIV/0!</v>
      </c>
      <c r="C26">
        <f>COUNTIFS(donnée!AN:AN,"&lt;=-1,0")</f>
        <v>0</v>
      </c>
      <c r="L26" s="202"/>
    </row>
    <row r="27" spans="1:12" ht="16" x14ac:dyDescent="0.2">
      <c r="A27" s="107" t="s">
        <v>73</v>
      </c>
      <c r="B27" s="108" t="e">
        <f>SUM(B18:B26)</f>
        <v>#DIV/0!</v>
      </c>
      <c r="C27" s="107">
        <f>SUM(C18:C26)</f>
        <v>0</v>
      </c>
      <c r="L27" s="202"/>
    </row>
    <row r="28" spans="1:12" ht="19" x14ac:dyDescent="0.25">
      <c r="A28" s="2" t="s">
        <v>71</v>
      </c>
      <c r="L28" s="202"/>
    </row>
    <row r="30" spans="1:12" x14ac:dyDescent="0.2">
      <c r="A30" t="s">
        <v>60</v>
      </c>
      <c r="B30" s="108" t="e">
        <f>C30/(C39)</f>
        <v>#DIV/0!</v>
      </c>
      <c r="C30">
        <f>COUNTIFS(donnée!AQ:AQ,"&gt;=1,0")</f>
        <v>0</v>
      </c>
    </row>
    <row r="31" spans="1:12" x14ac:dyDescent="0.2">
      <c r="A31" t="s">
        <v>61</v>
      </c>
      <c r="B31" s="108" t="e">
        <f>C31/(C39)</f>
        <v>#DIV/0!</v>
      </c>
      <c r="C31">
        <f>COUNTIFS(donnée!AQ:AQ,"&gt;=0,76",donnée!AQ:AQ,"&lt;=1,0")</f>
        <v>0</v>
      </c>
    </row>
    <row r="32" spans="1:12" x14ac:dyDescent="0.2">
      <c r="A32" t="s">
        <v>62</v>
      </c>
      <c r="B32" s="108" t="e">
        <f>C32/(C39)</f>
        <v>#DIV/0!</v>
      </c>
      <c r="C32">
        <f>COUNTIFS(donnée!AQ:AQ,"&gt;=+0,51",donnée!AQ:AQ,"&lt;=+0,75")</f>
        <v>0</v>
      </c>
    </row>
    <row r="33" spans="1:3" x14ac:dyDescent="0.2">
      <c r="A33" t="s">
        <v>63</v>
      </c>
      <c r="B33" s="108" t="e">
        <f>C33/(C39)</f>
        <v>#DIV/0!</v>
      </c>
      <c r="C33">
        <f>COUNTIFS(donnée!AQ:AQ,"&gt;=+0,26",donnée!AQ:AQ,"&lt;=+0,50")</f>
        <v>0</v>
      </c>
    </row>
    <row r="34" spans="1:3" x14ac:dyDescent="0.2">
      <c r="A34" t="s">
        <v>64</v>
      </c>
      <c r="B34" s="108" t="e">
        <f>C34/(C39)</f>
        <v>#DIV/0!</v>
      </c>
      <c r="C34">
        <f>COUNTIFS(donnée!AQ:AQ,"&gt;=-0,25",donnée!AQ:AQ,"&lt;=+0,25")</f>
        <v>0</v>
      </c>
    </row>
    <row r="35" spans="1:3" x14ac:dyDescent="0.2">
      <c r="A35" t="s">
        <v>65</v>
      </c>
      <c r="B35" s="108" t="e">
        <f>C35/(C39)</f>
        <v>#DIV/0!</v>
      </c>
      <c r="C35">
        <f>COUNTIFS(donnée!AQ:AQ,"&gt;=-0,50",donnée!AQ:AQ,"&lt;=-0,26")</f>
        <v>0</v>
      </c>
    </row>
    <row r="36" spans="1:3" x14ac:dyDescent="0.2">
      <c r="A36" t="s">
        <v>66</v>
      </c>
      <c r="B36" s="108" t="e">
        <f>C36/(C39)</f>
        <v>#DIV/0!</v>
      </c>
      <c r="C36">
        <f>COUNTIFS(donnée!AQ:AQ,"&gt;=-0,75",donnée!AQ:AQ,"&lt;=-0,51")</f>
        <v>0</v>
      </c>
    </row>
    <row r="37" spans="1:3" x14ac:dyDescent="0.2">
      <c r="A37" t="s">
        <v>67</v>
      </c>
      <c r="B37" s="108" t="e">
        <f>C37/(C39)</f>
        <v>#DIV/0!</v>
      </c>
      <c r="C37">
        <f>COUNTIFS(donnée!AQ:AQ,"&gt;=-1,0",donnée!AQ:AQ,"&lt;=-0,76")</f>
        <v>0</v>
      </c>
    </row>
    <row r="38" spans="1:3" x14ac:dyDescent="0.2">
      <c r="A38" t="s">
        <v>68</v>
      </c>
      <c r="B38" s="108" t="e">
        <f>C38/(C39)</f>
        <v>#DIV/0!</v>
      </c>
      <c r="C38">
        <f>COUNTIFS(donnée!AQ:AQ,"&lt;=-1,0")</f>
        <v>0</v>
      </c>
    </row>
    <row r="39" spans="1:3" ht="16" x14ac:dyDescent="0.2">
      <c r="A39" s="107" t="s">
        <v>73</v>
      </c>
      <c r="B39" s="108" t="e">
        <f>SUM(B30:B38)</f>
        <v>#DIV/0!</v>
      </c>
      <c r="C39" s="107">
        <f>SUM(C30:C38)</f>
        <v>0</v>
      </c>
    </row>
    <row r="40" spans="1:3" ht="19" x14ac:dyDescent="0.25">
      <c r="A40" s="2" t="s">
        <v>85</v>
      </c>
    </row>
    <row r="42" spans="1:3" x14ac:dyDescent="0.2">
      <c r="A42" t="s">
        <v>60</v>
      </c>
      <c r="B42" s="108" t="e">
        <f>C42/(C51)</f>
        <v>#DIV/0!</v>
      </c>
      <c r="C42">
        <f>COUNTIFS(donnée!AT:AT,"&gt;=1,0")</f>
        <v>0</v>
      </c>
    </row>
    <row r="43" spans="1:3" x14ac:dyDescent="0.2">
      <c r="A43" t="s">
        <v>61</v>
      </c>
      <c r="B43" s="108" t="e">
        <f>C43/(C51)</f>
        <v>#DIV/0!</v>
      </c>
      <c r="C43">
        <f>COUNTIFS(donnée!AT:AT,"&gt;=0,76",donnée!AT:AT,"&lt;=1,0")</f>
        <v>0</v>
      </c>
    </row>
    <row r="44" spans="1:3" x14ac:dyDescent="0.2">
      <c r="A44" t="s">
        <v>62</v>
      </c>
      <c r="B44" s="108" t="e">
        <f>C44/(C51)</f>
        <v>#DIV/0!</v>
      </c>
      <c r="C44">
        <f>COUNTIFS(donnée!AT:AT,"&gt;=+0,51",donnée!AT:AT,"&lt;=+0,75")</f>
        <v>0</v>
      </c>
    </row>
    <row r="45" spans="1:3" x14ac:dyDescent="0.2">
      <c r="A45" t="s">
        <v>63</v>
      </c>
      <c r="B45" s="108" t="e">
        <f>C45/(C51)</f>
        <v>#DIV/0!</v>
      </c>
      <c r="C45">
        <f>COUNTIFS(donnée!AT:AT,"&gt;=+0,26",donnée!AT:AT,"&lt;=+0,50")</f>
        <v>0</v>
      </c>
    </row>
    <row r="46" spans="1:3" x14ac:dyDescent="0.2">
      <c r="A46" t="s">
        <v>64</v>
      </c>
      <c r="B46" s="108" t="e">
        <f>C46/(C51)</f>
        <v>#DIV/0!</v>
      </c>
      <c r="C46">
        <f>COUNTIFS(donnée!AT:AT,"&gt;=-0,25",donnée!AT:AT,"&lt;=+0,25")</f>
        <v>0</v>
      </c>
    </row>
    <row r="47" spans="1:3" x14ac:dyDescent="0.2">
      <c r="A47" t="s">
        <v>65</v>
      </c>
      <c r="B47" s="108" t="e">
        <f>C47/(C51)</f>
        <v>#DIV/0!</v>
      </c>
      <c r="C47">
        <f>COUNTIFS(donnée!AT:AT,"&gt;=-0,50",donnée!AT:AT,"&lt;=-0,26")</f>
        <v>0</v>
      </c>
    </row>
    <row r="48" spans="1:3" x14ac:dyDescent="0.2">
      <c r="A48" t="s">
        <v>66</v>
      </c>
      <c r="B48" s="108" t="e">
        <f>C48/(C51)</f>
        <v>#DIV/0!</v>
      </c>
      <c r="C48">
        <f>COUNTIFS(donnée!AT:AT,"&gt;=-0,75",donnée!AT:AT,"&lt;=-0,51")</f>
        <v>0</v>
      </c>
    </row>
    <row r="49" spans="1:3" x14ac:dyDescent="0.2">
      <c r="A49" t="s">
        <v>67</v>
      </c>
      <c r="B49" s="108" t="e">
        <f>C49/(C51)</f>
        <v>#DIV/0!</v>
      </c>
      <c r="C49">
        <f>COUNTIFS(donnée!AT:AT,"&gt;=-1,0",donnée!AT:AT,"&lt;=-0,76")</f>
        <v>0</v>
      </c>
    </row>
    <row r="50" spans="1:3" x14ac:dyDescent="0.2">
      <c r="A50" t="s">
        <v>68</v>
      </c>
      <c r="B50" s="108" t="e">
        <f>C50/(C51)</f>
        <v>#DIV/0!</v>
      </c>
      <c r="C50">
        <f>COUNTIFS(donnée!AT:AT,"&lt;=-1,0")</f>
        <v>0</v>
      </c>
    </row>
    <row r="51" spans="1:3" ht="16" x14ac:dyDescent="0.2">
      <c r="A51" s="107" t="s">
        <v>73</v>
      </c>
      <c r="B51" s="108" t="e">
        <f>SUM(B42:B50)</f>
        <v>#DIV/0!</v>
      </c>
      <c r="C51" s="107">
        <f>SUM(C42:C50)</f>
        <v>0</v>
      </c>
    </row>
    <row r="52" spans="1:3" ht="19" x14ac:dyDescent="0.25">
      <c r="A52" s="2" t="s">
        <v>86</v>
      </c>
    </row>
    <row r="54" spans="1:3" x14ac:dyDescent="0.2">
      <c r="A54" t="s">
        <v>60</v>
      </c>
      <c r="B54" s="108" t="e">
        <f>C54/(C63)</f>
        <v>#DIV/0!</v>
      </c>
      <c r="C54">
        <f>COUNTIFS(donnée!AW:AW,"&gt;=1,0")</f>
        <v>0</v>
      </c>
    </row>
    <row r="55" spans="1:3" x14ac:dyDescent="0.2">
      <c r="A55" t="s">
        <v>61</v>
      </c>
      <c r="B55" s="108" t="e">
        <f>C55/(C63)</f>
        <v>#DIV/0!</v>
      </c>
      <c r="C55">
        <f>COUNTIFS(donnée!AW:AW,"&gt;=0,76",donnée!AW:AW,"&lt;=1,0")</f>
        <v>0</v>
      </c>
    </row>
    <row r="56" spans="1:3" x14ac:dyDescent="0.2">
      <c r="A56" t="s">
        <v>62</v>
      </c>
      <c r="B56" s="108" t="e">
        <f>C56/(C63)</f>
        <v>#DIV/0!</v>
      </c>
      <c r="C56">
        <f>COUNTIFS(donnée!AW:AW,"&gt;=+0,51",donnée!AW:AW,"&lt;=+0,75")</f>
        <v>0</v>
      </c>
    </row>
    <row r="57" spans="1:3" x14ac:dyDescent="0.2">
      <c r="A57" t="s">
        <v>63</v>
      </c>
      <c r="B57" s="108" t="e">
        <f>C57/(C63)</f>
        <v>#DIV/0!</v>
      </c>
      <c r="C57">
        <f>COUNTIFS(donnée!AW:AW,"&gt;=+0,26",donnée!AW:AW,"&lt;=+0,50")</f>
        <v>0</v>
      </c>
    </row>
    <row r="58" spans="1:3" x14ac:dyDescent="0.2">
      <c r="A58" t="s">
        <v>64</v>
      </c>
      <c r="B58" s="108" t="e">
        <f>C58/(C63)</f>
        <v>#DIV/0!</v>
      </c>
      <c r="C58">
        <f>COUNTIFS(donnée!AW:AW,"&gt;=-0,25",donnée!AW:AW,"&lt;=+0,25")</f>
        <v>0</v>
      </c>
    </row>
    <row r="59" spans="1:3" x14ac:dyDescent="0.2">
      <c r="A59" t="s">
        <v>65</v>
      </c>
      <c r="B59" s="108" t="e">
        <f>C59/(C63)</f>
        <v>#DIV/0!</v>
      </c>
      <c r="C59">
        <f>COUNTIFS(donnée!AW:AW,"&gt;=-0,50",donnée!AW:AW,"&lt;=-0,26")</f>
        <v>0</v>
      </c>
    </row>
    <row r="60" spans="1:3" x14ac:dyDescent="0.2">
      <c r="A60" t="s">
        <v>66</v>
      </c>
      <c r="B60" s="108" t="e">
        <f>C60/(C63)</f>
        <v>#DIV/0!</v>
      </c>
      <c r="C60">
        <f>COUNTIFS(donnée!AW:AW,"&gt;=-0,75",donnée!AW:AW,"&lt;=-0,51")</f>
        <v>0</v>
      </c>
    </row>
    <row r="61" spans="1:3" x14ac:dyDescent="0.2">
      <c r="A61" t="s">
        <v>67</v>
      </c>
      <c r="B61" s="108" t="e">
        <f>C61/(C63)</f>
        <v>#DIV/0!</v>
      </c>
      <c r="C61">
        <f>COUNTIFS(donnée!AW:AW,"&gt;=-1,0",donnée!AW:AW,"&lt;=-0,76")</f>
        <v>0</v>
      </c>
    </row>
    <row r="62" spans="1:3" x14ac:dyDescent="0.2">
      <c r="A62" t="s">
        <v>68</v>
      </c>
      <c r="B62" s="108" t="e">
        <f>C62/(C63)</f>
        <v>#DIV/0!</v>
      </c>
      <c r="C62">
        <f>COUNTIFS(donnée!AW:AW,"&lt;=-1,0")</f>
        <v>0</v>
      </c>
    </row>
    <row r="63" spans="1:3" ht="16" x14ac:dyDescent="0.2">
      <c r="A63" s="107" t="s">
        <v>73</v>
      </c>
      <c r="B63" s="108" t="e">
        <f>SUM(B54:B62)</f>
        <v>#DIV/0!</v>
      </c>
      <c r="C63" s="107">
        <f>SUM(C54:C62)</f>
        <v>0</v>
      </c>
    </row>
    <row r="64" spans="1:3" ht="19" x14ac:dyDescent="0.25">
      <c r="A64" s="2" t="s">
        <v>87</v>
      </c>
    </row>
    <row r="66" spans="1:3" x14ac:dyDescent="0.2">
      <c r="A66" t="s">
        <v>60</v>
      </c>
      <c r="B66" s="108" t="e">
        <f>C66/(C75)</f>
        <v>#DIV/0!</v>
      </c>
      <c r="C66">
        <f>COUNTIFS(donnée!AZ:AZ,"&gt;=1,0")</f>
        <v>0</v>
      </c>
    </row>
    <row r="67" spans="1:3" x14ac:dyDescent="0.2">
      <c r="A67" t="s">
        <v>61</v>
      </c>
      <c r="B67" s="108" t="e">
        <f>C67/(C75)</f>
        <v>#DIV/0!</v>
      </c>
      <c r="C67">
        <f>COUNTIFS(donnée!AZ:AZ,"&gt;=0,76",donnée!AZ:AZ,"&lt;=1,0")</f>
        <v>0</v>
      </c>
    </row>
    <row r="68" spans="1:3" x14ac:dyDescent="0.2">
      <c r="A68" t="s">
        <v>62</v>
      </c>
      <c r="B68" s="108" t="e">
        <f>C68/(C75)</f>
        <v>#DIV/0!</v>
      </c>
      <c r="C68">
        <f>COUNTIFS(donnée!AZ:AZ,"&gt;=+0,51",donnée!AZ:AZ,"&lt;=+0,75")</f>
        <v>0</v>
      </c>
    </row>
    <row r="69" spans="1:3" x14ac:dyDescent="0.2">
      <c r="A69" t="s">
        <v>63</v>
      </c>
      <c r="B69" s="108" t="e">
        <f>C69/(C75)</f>
        <v>#DIV/0!</v>
      </c>
      <c r="C69">
        <f>COUNTIFS(donnée!AZ:AZ,"&gt;=+0,26",donnée!AZ:AZ,"&lt;=+0,50")</f>
        <v>0</v>
      </c>
    </row>
    <row r="70" spans="1:3" x14ac:dyDescent="0.2">
      <c r="A70" t="s">
        <v>64</v>
      </c>
      <c r="B70" s="108" t="e">
        <f>C70/(C75)</f>
        <v>#DIV/0!</v>
      </c>
      <c r="C70">
        <f>COUNTIFS(donnée!AZ:AZ,"&gt;=-0,25",donnée!AZ:AZ,"&lt;=+0,25")</f>
        <v>0</v>
      </c>
    </row>
    <row r="71" spans="1:3" x14ac:dyDescent="0.2">
      <c r="A71" t="s">
        <v>65</v>
      </c>
      <c r="B71" s="108" t="e">
        <f>C71/(C75)</f>
        <v>#DIV/0!</v>
      </c>
      <c r="C71">
        <f>COUNTIFS(donnée!AZ:AZ,"&gt;=-0,50",donnée!AZ:AZ,"&lt;=-0,26")</f>
        <v>0</v>
      </c>
    </row>
    <row r="72" spans="1:3" x14ac:dyDescent="0.2">
      <c r="A72" t="s">
        <v>66</v>
      </c>
      <c r="B72" s="108" t="e">
        <f>C72/(C75)</f>
        <v>#DIV/0!</v>
      </c>
      <c r="C72">
        <f>COUNTIFS(donnée!AZ:AZ,"&gt;=-0,75",donnée!AZ:AZ,"&lt;=-0,51")</f>
        <v>0</v>
      </c>
    </row>
    <row r="73" spans="1:3" x14ac:dyDescent="0.2">
      <c r="A73" t="s">
        <v>67</v>
      </c>
      <c r="B73" s="108" t="e">
        <f>C73/(C75)</f>
        <v>#DIV/0!</v>
      </c>
      <c r="C73">
        <f>COUNTIFS(donnée!AZ:AZ,"&gt;=-1,0",donnée!AZ:AZ,"&lt;=-0,76")</f>
        <v>0</v>
      </c>
    </row>
    <row r="74" spans="1:3" x14ac:dyDescent="0.2">
      <c r="A74" t="s">
        <v>68</v>
      </c>
      <c r="B74" s="108" t="e">
        <f>C74/(C75)</f>
        <v>#DIV/0!</v>
      </c>
      <c r="C74">
        <f>COUNTIFS(donnée!AZ:AZ,"&lt;=-1,0")</f>
        <v>0</v>
      </c>
    </row>
    <row r="75" spans="1:3" ht="16" x14ac:dyDescent="0.2">
      <c r="A75" s="107" t="s">
        <v>73</v>
      </c>
      <c r="B75" s="108" t="e">
        <f>SUM(B66:B74)</f>
        <v>#DIV/0!</v>
      </c>
      <c r="C75" s="107">
        <f>SUM(C66:C74)</f>
        <v>0</v>
      </c>
    </row>
    <row r="76" spans="1:3" ht="19" x14ac:dyDescent="0.25">
      <c r="A76" s="2" t="s">
        <v>88</v>
      </c>
    </row>
    <row r="78" spans="1:3" x14ac:dyDescent="0.2">
      <c r="A78" t="s">
        <v>60</v>
      </c>
      <c r="B78" s="108" t="e">
        <f>C78/(C87)</f>
        <v>#DIV/0!</v>
      </c>
      <c r="C78">
        <f>COUNTIFS(donnée!BC:BC,"&gt;=1,0")</f>
        <v>0</v>
      </c>
    </row>
    <row r="79" spans="1:3" x14ac:dyDescent="0.2">
      <c r="A79" t="s">
        <v>61</v>
      </c>
      <c r="B79" s="108" t="e">
        <f>C79/(C87)</f>
        <v>#DIV/0!</v>
      </c>
      <c r="C79">
        <f>COUNTIFS(donnée!BC:BC,"&gt;=0,76",donnée!BC:BC,"&lt;=1,0")</f>
        <v>0</v>
      </c>
    </row>
    <row r="80" spans="1:3" x14ac:dyDescent="0.2">
      <c r="A80" t="s">
        <v>62</v>
      </c>
      <c r="B80" s="108" t="e">
        <f>C80/(C87)</f>
        <v>#DIV/0!</v>
      </c>
      <c r="C80">
        <f>COUNTIFS(donnée!BC:BC,"&gt;=+0,51",donnée!BC:BC,"&lt;=+0,75")</f>
        <v>0</v>
      </c>
    </row>
    <row r="81" spans="1:3" x14ac:dyDescent="0.2">
      <c r="A81" t="s">
        <v>63</v>
      </c>
      <c r="B81" s="108" t="e">
        <f>C81/(C87)</f>
        <v>#DIV/0!</v>
      </c>
      <c r="C81">
        <f>COUNTIFS(donnée!BC:BC,"&gt;=+0,26",donnée!BC:BC,"&lt;=+0,50")</f>
        <v>0</v>
      </c>
    </row>
    <row r="82" spans="1:3" x14ac:dyDescent="0.2">
      <c r="A82" t="s">
        <v>64</v>
      </c>
      <c r="B82" s="108" t="e">
        <f>C82/(C87)</f>
        <v>#DIV/0!</v>
      </c>
      <c r="C82">
        <f>COUNTIFS(donnée!BC:BC,"&gt;=-0,25",donnée!BC:BC,"&lt;=+0,25")</f>
        <v>0</v>
      </c>
    </row>
    <row r="83" spans="1:3" x14ac:dyDescent="0.2">
      <c r="A83" t="s">
        <v>65</v>
      </c>
      <c r="B83" s="108" t="e">
        <f>C83/(C87)</f>
        <v>#DIV/0!</v>
      </c>
      <c r="C83">
        <f>COUNTIFS(donnée!BC:BC,"&gt;=-0,50",donnée!BC:BC,"&lt;=-0,26")</f>
        <v>0</v>
      </c>
    </row>
    <row r="84" spans="1:3" x14ac:dyDescent="0.2">
      <c r="A84" t="s">
        <v>66</v>
      </c>
      <c r="B84" s="108" t="e">
        <f>C84/(C87)</f>
        <v>#DIV/0!</v>
      </c>
      <c r="C84">
        <f>COUNTIFS(donnée!BC:BC,"&gt;=-0,75",donnée!BC:BC,"&lt;=-0,51")</f>
        <v>0</v>
      </c>
    </row>
    <row r="85" spans="1:3" x14ac:dyDescent="0.2">
      <c r="A85" t="s">
        <v>67</v>
      </c>
      <c r="B85" s="108" t="e">
        <f>C85/(C87)</f>
        <v>#DIV/0!</v>
      </c>
      <c r="C85">
        <f>COUNTIFS(donnée!BC:BC,"&gt;=-1,0",donnée!BC:BC,"&lt;=-0,76")</f>
        <v>0</v>
      </c>
    </row>
    <row r="86" spans="1:3" x14ac:dyDescent="0.2">
      <c r="A86" t="s">
        <v>68</v>
      </c>
      <c r="B86" s="108" t="e">
        <f>C86/(C87)</f>
        <v>#DIV/0!</v>
      </c>
      <c r="C86">
        <f>COUNTIFS(donnée!BC:BC,"&lt;=-1,0")</f>
        <v>0</v>
      </c>
    </row>
    <row r="87" spans="1:3" ht="16" x14ac:dyDescent="0.2">
      <c r="A87" s="107" t="s">
        <v>73</v>
      </c>
      <c r="B87" s="108" t="e">
        <f>SUM(B78:B86)</f>
        <v>#DIV/0!</v>
      </c>
      <c r="C87" s="107">
        <f>SUM(C78:C86)</f>
        <v>0</v>
      </c>
    </row>
    <row r="88" spans="1:3" ht="19" x14ac:dyDescent="0.25">
      <c r="A88" s="2" t="s">
        <v>89</v>
      </c>
    </row>
    <row r="90" spans="1:3" x14ac:dyDescent="0.2">
      <c r="A90" t="s">
        <v>60</v>
      </c>
      <c r="B90" s="108" t="e">
        <f>C90/(C99)</f>
        <v>#DIV/0!</v>
      </c>
      <c r="C90">
        <f>COUNTIFS(donnée!BF:BF,"&gt;=1,0")</f>
        <v>0</v>
      </c>
    </row>
    <row r="91" spans="1:3" x14ac:dyDescent="0.2">
      <c r="A91" t="s">
        <v>61</v>
      </c>
      <c r="B91" s="108" t="e">
        <f>C91/(C99)</f>
        <v>#DIV/0!</v>
      </c>
      <c r="C91">
        <f>COUNTIFS(donnée!BF:BF,"&gt;=0,76",donnée!BF:BF,"&lt;=1,0")</f>
        <v>0</v>
      </c>
    </row>
    <row r="92" spans="1:3" x14ac:dyDescent="0.2">
      <c r="A92" t="s">
        <v>62</v>
      </c>
      <c r="B92" s="108" t="e">
        <f>C92/(C99)</f>
        <v>#DIV/0!</v>
      </c>
      <c r="C92">
        <f>COUNTIFS(donnée!BF:BF,"&gt;=+0,51",donnée!BF:BF,"&lt;=+0,75")</f>
        <v>0</v>
      </c>
    </row>
    <row r="93" spans="1:3" x14ac:dyDescent="0.2">
      <c r="A93" t="s">
        <v>63</v>
      </c>
      <c r="B93" s="108" t="e">
        <f>C93/(C99)</f>
        <v>#DIV/0!</v>
      </c>
      <c r="C93">
        <f>COUNTIFS(donnée!BF:BF,"&gt;=+0,26",donnée!BF:BF,"&lt;=+0,50")</f>
        <v>0</v>
      </c>
    </row>
    <row r="94" spans="1:3" x14ac:dyDescent="0.2">
      <c r="A94" t="s">
        <v>64</v>
      </c>
      <c r="B94" s="108" t="e">
        <f>C94/(C99)</f>
        <v>#DIV/0!</v>
      </c>
      <c r="C94">
        <f>COUNTIFS(donnée!BF:BF,"&gt;=-0,25",donnée!BF:BF,"&lt;=+0,25")</f>
        <v>0</v>
      </c>
    </row>
    <row r="95" spans="1:3" x14ac:dyDescent="0.2">
      <c r="A95" t="s">
        <v>65</v>
      </c>
      <c r="B95" s="108" t="e">
        <f>C95/(C99)</f>
        <v>#DIV/0!</v>
      </c>
      <c r="C95">
        <f>COUNTIFS(donnée!BF:BF,"&gt;=-0,50",donnée!BF:BF,"&lt;=-0,26")</f>
        <v>0</v>
      </c>
    </row>
    <row r="96" spans="1:3" x14ac:dyDescent="0.2">
      <c r="A96" t="s">
        <v>66</v>
      </c>
      <c r="B96" s="108" t="e">
        <f>C96/(C99)</f>
        <v>#DIV/0!</v>
      </c>
      <c r="C96">
        <f>COUNTIFS(donnée!BF:BF,"&gt;=-0,75",donnée!BF:BF,"&lt;=-0,51")</f>
        <v>0</v>
      </c>
    </row>
    <row r="97" spans="1:3" x14ac:dyDescent="0.2">
      <c r="A97" t="s">
        <v>67</v>
      </c>
      <c r="B97" s="108" t="e">
        <f>C97/(C99)</f>
        <v>#DIV/0!</v>
      </c>
      <c r="C97">
        <f>COUNTIFS(donnée!BF:BF,"&gt;=-1,0",donnée!BF:BF,"&lt;=-0,76")</f>
        <v>0</v>
      </c>
    </row>
    <row r="98" spans="1:3" x14ac:dyDescent="0.2">
      <c r="A98" t="s">
        <v>68</v>
      </c>
      <c r="B98" s="108" t="e">
        <f>C98/(C99)</f>
        <v>#DIV/0!</v>
      </c>
      <c r="C98">
        <f>COUNTIFS(donnée!BF:BF,"&lt;=-1,0")</f>
        <v>0</v>
      </c>
    </row>
    <row r="99" spans="1:3" ht="16" x14ac:dyDescent="0.2">
      <c r="A99" s="107" t="s">
        <v>73</v>
      </c>
      <c r="B99" s="108" t="e">
        <f>SUM(B90:B98)</f>
        <v>#DIV/0!</v>
      </c>
      <c r="C99" s="107">
        <f>SUM(C90:C98)</f>
        <v>0</v>
      </c>
    </row>
    <row r="100" spans="1:3" ht="19" x14ac:dyDescent="0.25">
      <c r="A100" s="2" t="s">
        <v>90</v>
      </c>
    </row>
    <row r="102" spans="1:3" x14ac:dyDescent="0.2">
      <c r="A102" t="s">
        <v>60</v>
      </c>
      <c r="B102" s="108" t="e">
        <f>C102/(C111)</f>
        <v>#DIV/0!</v>
      </c>
      <c r="C102">
        <f>COUNTIFS(donnée!BI:BI,"&gt;=1,0")</f>
        <v>0</v>
      </c>
    </row>
    <row r="103" spans="1:3" x14ac:dyDescent="0.2">
      <c r="A103" t="s">
        <v>61</v>
      </c>
      <c r="B103" s="108" t="e">
        <f>C103/(C111)</f>
        <v>#DIV/0!</v>
      </c>
      <c r="C103">
        <f>COUNTIFS(donnée!BI:BI,"&gt;=0,76",donnée!BI:BI,"&lt;=1,0")</f>
        <v>0</v>
      </c>
    </row>
    <row r="104" spans="1:3" x14ac:dyDescent="0.2">
      <c r="A104" t="s">
        <v>62</v>
      </c>
      <c r="B104" s="108" t="e">
        <f>C104/(C111)</f>
        <v>#DIV/0!</v>
      </c>
      <c r="C104">
        <f>COUNTIFS(donnée!BI:BI,"&gt;=+0,51",donnée!BI:BI,"&lt;=+0,75")</f>
        <v>0</v>
      </c>
    </row>
    <row r="105" spans="1:3" x14ac:dyDescent="0.2">
      <c r="A105" t="s">
        <v>63</v>
      </c>
      <c r="B105" s="108" t="e">
        <f>C105/(C111)</f>
        <v>#DIV/0!</v>
      </c>
      <c r="C105">
        <f>COUNTIFS(donnée!BI:BI,"&gt;=+0,26",donnée!BI:BI,"&lt;=+0,50")</f>
        <v>0</v>
      </c>
    </row>
    <row r="106" spans="1:3" x14ac:dyDescent="0.2">
      <c r="A106" t="s">
        <v>64</v>
      </c>
      <c r="B106" s="108" t="e">
        <f>C106/(C111)</f>
        <v>#DIV/0!</v>
      </c>
      <c r="C106">
        <f>COUNTIFS(donnée!BI:BI,"&gt;=-0,25",donnée!BI:BI,"&lt;=+0,25")</f>
        <v>0</v>
      </c>
    </row>
    <row r="107" spans="1:3" x14ac:dyDescent="0.2">
      <c r="A107" t="s">
        <v>65</v>
      </c>
      <c r="B107" s="108" t="e">
        <f>C107/(C111)</f>
        <v>#DIV/0!</v>
      </c>
      <c r="C107">
        <f>COUNTIFS(donnée!BI:BI,"&gt;=-0,50",donnée!BI:BI,"&lt;=-0,26")</f>
        <v>0</v>
      </c>
    </row>
    <row r="108" spans="1:3" x14ac:dyDescent="0.2">
      <c r="A108" t="s">
        <v>66</v>
      </c>
      <c r="B108" s="108" t="e">
        <f>C108/(C111)</f>
        <v>#DIV/0!</v>
      </c>
      <c r="C108">
        <f>COUNTIFS(donnée!BI:BI,"&gt;=-0,75",donnée!BI:BI,"&lt;=-0,51")</f>
        <v>0</v>
      </c>
    </row>
    <row r="109" spans="1:3" x14ac:dyDescent="0.2">
      <c r="A109" t="s">
        <v>67</v>
      </c>
      <c r="B109" s="108" t="e">
        <f>C109/(C111)</f>
        <v>#DIV/0!</v>
      </c>
      <c r="C109">
        <f>COUNTIFS(donnée!BI:BI,"&gt;=-1,0",donnée!BI:BI,"&lt;=-0,76")</f>
        <v>0</v>
      </c>
    </row>
    <row r="110" spans="1:3" x14ac:dyDescent="0.2">
      <c r="A110" t="s">
        <v>68</v>
      </c>
      <c r="B110" s="108" t="e">
        <f>C110/(C111)</f>
        <v>#DIV/0!</v>
      </c>
      <c r="C110">
        <f>COUNTIFS(donnée!BI:BI,"&lt;=-1,0")</f>
        <v>0</v>
      </c>
    </row>
    <row r="111" spans="1:3" ht="16" x14ac:dyDescent="0.2">
      <c r="A111" s="107" t="s">
        <v>73</v>
      </c>
      <c r="B111" s="108" t="e">
        <f>SUM(B102:B110)</f>
        <v>#DIV/0!</v>
      </c>
      <c r="C111" s="107">
        <f>SUM(C102:C110)</f>
        <v>0</v>
      </c>
    </row>
    <row r="112" spans="1:3" ht="19" x14ac:dyDescent="0.25">
      <c r="A112" s="2" t="s">
        <v>91</v>
      </c>
    </row>
    <row r="114" spans="1:3" x14ac:dyDescent="0.2">
      <c r="A114" t="s">
        <v>60</v>
      </c>
      <c r="B114" s="108" t="e">
        <f>C114/(C123)</f>
        <v>#DIV/0!</v>
      </c>
      <c r="C114">
        <f>COUNTIFS(donnée!BL:BL,"&gt;=1,0")</f>
        <v>0</v>
      </c>
    </row>
    <row r="115" spans="1:3" x14ac:dyDescent="0.2">
      <c r="A115" t="s">
        <v>61</v>
      </c>
      <c r="B115" s="108" t="e">
        <f>C115/(C123)</f>
        <v>#DIV/0!</v>
      </c>
      <c r="C115">
        <f>COUNTIFS(donnée!BL:BL,"&gt;=0,76",donnée!BL:BL,"&lt;=1,0")</f>
        <v>0</v>
      </c>
    </row>
    <row r="116" spans="1:3" x14ac:dyDescent="0.2">
      <c r="A116" t="s">
        <v>62</v>
      </c>
      <c r="B116" s="108" t="e">
        <f>C116/(C123)</f>
        <v>#DIV/0!</v>
      </c>
      <c r="C116">
        <f>COUNTIFS(donnée!BL:BL,"&gt;=+0,51",donnée!BL:BL,"&lt;=+0,75")</f>
        <v>0</v>
      </c>
    </row>
    <row r="117" spans="1:3" x14ac:dyDescent="0.2">
      <c r="A117" t="s">
        <v>63</v>
      </c>
      <c r="B117" s="108" t="e">
        <f>C117/(C123)</f>
        <v>#DIV/0!</v>
      </c>
      <c r="C117">
        <f>COUNTIFS(donnée!BL:BL,"&gt;=+0,26",donnée!BL:BL,"&lt;=+0,50")</f>
        <v>0</v>
      </c>
    </row>
    <row r="118" spans="1:3" x14ac:dyDescent="0.2">
      <c r="A118" t="s">
        <v>64</v>
      </c>
      <c r="B118" s="108" t="e">
        <f>C118/(C123)</f>
        <v>#DIV/0!</v>
      </c>
      <c r="C118">
        <f>COUNTIFS(donnée!BL:BL,"&gt;=-0,25",donnée!BL:BL,"&lt;=+0,25")</f>
        <v>0</v>
      </c>
    </row>
    <row r="119" spans="1:3" x14ac:dyDescent="0.2">
      <c r="A119" t="s">
        <v>65</v>
      </c>
      <c r="B119" s="108" t="e">
        <f>C119/(C123)</f>
        <v>#DIV/0!</v>
      </c>
      <c r="C119">
        <f>COUNTIFS(donnée!BL:BL,"&gt;=-0,50",donnée!BL:BL,"&lt;=-0,26")</f>
        <v>0</v>
      </c>
    </row>
    <row r="120" spans="1:3" x14ac:dyDescent="0.2">
      <c r="A120" t="s">
        <v>66</v>
      </c>
      <c r="B120" s="108" t="e">
        <f>C120/(C123)</f>
        <v>#DIV/0!</v>
      </c>
      <c r="C120">
        <f>COUNTIFS(donnée!BL:BL,"&gt;=-0,75",donnée!BL:BL,"&lt;=-0,51")</f>
        <v>0</v>
      </c>
    </row>
    <row r="121" spans="1:3" x14ac:dyDescent="0.2">
      <c r="A121" t="s">
        <v>67</v>
      </c>
      <c r="B121" s="108" t="e">
        <f>C121/(C123)</f>
        <v>#DIV/0!</v>
      </c>
      <c r="C121">
        <f>COUNTIFS(donnée!BL:BL,"&gt;=-1,0",donnée!BL:BL,"&lt;=-0,76")</f>
        <v>0</v>
      </c>
    </row>
    <row r="122" spans="1:3" x14ac:dyDescent="0.2">
      <c r="A122" t="s">
        <v>68</v>
      </c>
      <c r="B122" s="108" t="e">
        <f>C122/(C123)</f>
        <v>#DIV/0!</v>
      </c>
      <c r="C122">
        <f>COUNTIFS(donnée!BL:BL,"&lt;=-1,0")</f>
        <v>0</v>
      </c>
    </row>
    <row r="123" spans="1:3" ht="16" x14ac:dyDescent="0.2">
      <c r="A123" s="107" t="s">
        <v>73</v>
      </c>
      <c r="B123" s="108" t="e">
        <f>SUM(B114:B122)</f>
        <v>#DIV/0!</v>
      </c>
      <c r="C123" s="107">
        <f>SUM(C114:C122)</f>
        <v>0</v>
      </c>
    </row>
  </sheetData>
  <mergeCells count="1">
    <mergeCell ref="U1:X1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94"/>
  <sheetViews>
    <sheetView topLeftCell="AR1" zoomScale="70" zoomScaleNormal="70" workbookViewId="0">
      <selection activeCell="BE10" sqref="BE10"/>
    </sheetView>
  </sheetViews>
  <sheetFormatPr baseColWidth="10" defaultRowHeight="15" x14ac:dyDescent="0.2"/>
  <cols>
    <col min="1" max="2" width="12.83203125" bestFit="1" customWidth="1"/>
    <col min="9" max="9" width="12.83203125" bestFit="1" customWidth="1"/>
    <col min="16" max="16" width="12.83203125" bestFit="1" customWidth="1"/>
    <col min="23" max="23" width="12.83203125" bestFit="1" customWidth="1"/>
    <col min="24" max="29" width="10.5" customWidth="1"/>
    <col min="30" max="30" width="12.83203125" bestFit="1" customWidth="1"/>
    <col min="37" max="37" width="12.83203125" bestFit="1" customWidth="1"/>
    <col min="44" max="44" width="12.83203125" bestFit="1" customWidth="1"/>
    <col min="45" max="50" width="10.6640625" customWidth="1"/>
    <col min="51" max="52" width="10.1640625" customWidth="1"/>
  </cols>
  <sheetData>
    <row r="1" spans="2:52" ht="30.75" customHeight="1" thickBot="1" x14ac:dyDescent="0.25"/>
    <row r="2" spans="2:52" ht="49" thickBot="1" x14ac:dyDescent="0.25">
      <c r="C2" s="164" t="s">
        <v>40</v>
      </c>
      <c r="D2" s="165" t="s">
        <v>46</v>
      </c>
      <c r="E2" s="165" t="s">
        <v>47</v>
      </c>
      <c r="F2" s="165" t="s">
        <v>48</v>
      </c>
      <c r="G2" s="165" t="s">
        <v>49</v>
      </c>
      <c r="H2" s="165" t="s">
        <v>50</v>
      </c>
      <c r="J2" s="205" t="s">
        <v>116</v>
      </c>
      <c r="K2" s="205" t="s">
        <v>120</v>
      </c>
      <c r="L2" s="205" t="s">
        <v>121</v>
      </c>
      <c r="M2" s="205" t="s">
        <v>117</v>
      </c>
      <c r="N2" s="205" t="s">
        <v>118</v>
      </c>
      <c r="O2" s="205" t="s">
        <v>119</v>
      </c>
      <c r="Q2" s="206" t="s">
        <v>105</v>
      </c>
      <c r="R2" s="206" t="s">
        <v>112</v>
      </c>
      <c r="S2" s="206" t="s">
        <v>123</v>
      </c>
      <c r="T2" s="206" t="s">
        <v>114</v>
      </c>
      <c r="U2" s="206" t="s">
        <v>115</v>
      </c>
      <c r="V2" s="206" t="s">
        <v>106</v>
      </c>
      <c r="X2" s="210" t="s">
        <v>107</v>
      </c>
      <c r="Y2" s="207" t="s">
        <v>108</v>
      </c>
      <c r="Z2" s="207" t="s">
        <v>109</v>
      </c>
      <c r="AA2" s="207" t="s">
        <v>110</v>
      </c>
      <c r="AB2" s="209" t="s">
        <v>122</v>
      </c>
      <c r="AC2" s="211"/>
      <c r="AE2" s="212" t="s">
        <v>124</v>
      </c>
      <c r="AF2" s="208" t="s">
        <v>125</v>
      </c>
      <c r="AG2" s="208" t="s">
        <v>126</v>
      </c>
      <c r="AH2" s="213" t="s">
        <v>127</v>
      </c>
      <c r="AI2" s="211"/>
      <c r="AJ2" s="211"/>
      <c r="AL2" s="89" t="s">
        <v>128</v>
      </c>
      <c r="AM2" s="89" t="s">
        <v>129</v>
      </c>
      <c r="AN2" s="89" t="s">
        <v>131</v>
      </c>
      <c r="AO2" s="89" t="s">
        <v>130</v>
      </c>
      <c r="AP2" s="211"/>
      <c r="AQ2" s="211"/>
      <c r="AS2" s="207" t="s">
        <v>52</v>
      </c>
      <c r="AT2" s="207" t="s">
        <v>57</v>
      </c>
      <c r="AU2" s="207" t="s">
        <v>51</v>
      </c>
      <c r="AV2" s="207" t="s">
        <v>53</v>
      </c>
      <c r="AW2" s="207" t="s">
        <v>54</v>
      </c>
      <c r="AX2" s="207" t="s">
        <v>55</v>
      </c>
      <c r="AY2" s="209" t="s">
        <v>104</v>
      </c>
      <c r="AZ2" s="211"/>
    </row>
    <row r="3" spans="2:52" ht="19" x14ac:dyDescent="0.25">
      <c r="B3" s="2" t="s">
        <v>72</v>
      </c>
      <c r="I3" s="2" t="s">
        <v>72</v>
      </c>
      <c r="P3" s="2" t="s">
        <v>72</v>
      </c>
      <c r="W3" s="2" t="s">
        <v>72</v>
      </c>
      <c r="AD3" s="2" t="s">
        <v>72</v>
      </c>
      <c r="AK3" s="2" t="s">
        <v>72</v>
      </c>
      <c r="AR3" s="2" t="s">
        <v>72</v>
      </c>
    </row>
    <row r="4" spans="2:52" x14ac:dyDescent="0.2">
      <c r="B4" t="s">
        <v>60</v>
      </c>
      <c r="C4">
        <f>COUNTIFS(donnée!AK:AK,"&gt;=1,0",donnée!BO:BO,"oui")</f>
        <v>0</v>
      </c>
      <c r="D4">
        <f>COUNTIFS(donnée!AK:AK,"&gt;=1,0",donnée!BP:BP,"oui")</f>
        <v>0</v>
      </c>
      <c r="E4">
        <f>COUNTIFS(donnée!AK:AK,"&gt;=1,0",donnée!BQ:BQ,"oui")</f>
        <v>0</v>
      </c>
      <c r="F4">
        <f>COUNTIFS(donnée!AK:AK,"&gt;=1,0",donnée!BR:BR,"oui")</f>
        <v>0</v>
      </c>
      <c r="G4">
        <f>COUNTIFS(donnée!AK:AK,"&gt;=1,0",donnée!BS:BS,"oui")</f>
        <v>0</v>
      </c>
      <c r="H4">
        <f>COUNTIFS(donnée!AK:AK,"&gt;=1,0",donnée!BT:BT,"oui")</f>
        <v>0</v>
      </c>
      <c r="I4" t="s">
        <v>60</v>
      </c>
      <c r="J4">
        <f>COUNTIFS(donnée!AK:AK,"&gt;=1,0",donnée!BU:BU,"oui")</f>
        <v>0</v>
      </c>
      <c r="K4">
        <f>COUNTIFS(donnée!AK:AK,"&gt;=1,0",donnée!BV:BV,"oui")</f>
        <v>0</v>
      </c>
      <c r="L4">
        <f>COUNTIFS(donnée!AK:AK,"&gt;=1,0",donnée!BW:BW,"oui")</f>
        <v>0</v>
      </c>
      <c r="M4">
        <f>COUNTIFS(donnée!AK:AK,"&gt;=1,0",donnée!BX:BX,"oui")</f>
        <v>0</v>
      </c>
      <c r="N4">
        <f>COUNTIFS(donnée!AK:AK,"&gt;=1,0",donnée!BY:BY,"oui")</f>
        <v>0</v>
      </c>
      <c r="O4">
        <f>COUNTIFS(donnée!AK:AK,"&gt;=1,0",donnée!BZ:BZ,"oui")</f>
        <v>0</v>
      </c>
      <c r="P4" t="s">
        <v>60</v>
      </c>
      <c r="Q4">
        <f>COUNTIFS(donnée!AK:AK,"&gt;=1,0",donnée!CA:CA,"oui")</f>
        <v>0</v>
      </c>
      <c r="R4">
        <f>COUNTIFS(donnée!AK:AK,"&gt;=1,0",donnée!CB:CB,"oui")</f>
        <v>0</v>
      </c>
      <c r="S4">
        <f>COUNTIFS(donnée!AK:AK,"&gt;=1,0",donnée!CC:CC,"oui")</f>
        <v>0</v>
      </c>
      <c r="T4">
        <f>COUNTIFS(donnée!AK:AK,"&gt;=1,0",donnée!CD:CD,"oui")</f>
        <v>0</v>
      </c>
      <c r="U4">
        <f>COUNTIFS(donnée!AK:AK,"&gt;=1,0",donnée!CE:CE,"oui")</f>
        <v>0</v>
      </c>
      <c r="V4">
        <f>COUNTIFS(donnée!AK:AK,"&gt;=1,0",donnée!CF:CF,"oui")</f>
        <v>0</v>
      </c>
      <c r="W4" t="s">
        <v>60</v>
      </c>
      <c r="X4">
        <f>COUNTIFS(donnée!AK:AK,"&gt;=1,0",donnée!CG:CG,"oui")</f>
        <v>0</v>
      </c>
      <c r="Y4">
        <f>COUNTIFS(donnée!AK:AK,"&gt;=1,0",donnée!CH:CH,"oui")</f>
        <v>0</v>
      </c>
      <c r="Z4">
        <f>COUNTIFS(donnée!AK:AK,"&gt;=1,0",donnée!CI:CI,"oui")</f>
        <v>0</v>
      </c>
      <c r="AA4">
        <f>COUNTIFS(donnée!AK:AK,"&gt;=1,0",donnée!CJ:CJ,"oui")</f>
        <v>0</v>
      </c>
      <c r="AB4">
        <f>COUNTIFS(donnée!AK:AK,"&gt;=1,0",donnée!CK:CK,"oui")</f>
        <v>0</v>
      </c>
      <c r="AD4" t="s">
        <v>60</v>
      </c>
      <c r="AE4">
        <f>COUNTIFS(donnée!AK:AK,"&gt;=1,0",donnée!CL:CL,"oui")</f>
        <v>0</v>
      </c>
      <c r="AF4">
        <f>COUNTIFS(donnée!AK:AK,"&gt;=1,0",donnée!CM:CM,"oui")</f>
        <v>0</v>
      </c>
      <c r="AG4">
        <f>COUNTIFS(donnée!AK:AK,"&gt;=1,0",donnée!CN:CN,"oui")</f>
        <v>0</v>
      </c>
      <c r="AH4">
        <f>COUNTIFS(donnée!AK:AK,"&gt;=1,0",donnée!CO:CO,"oui")</f>
        <v>0</v>
      </c>
      <c r="AK4" t="s">
        <v>60</v>
      </c>
      <c r="AL4">
        <f>COUNTIFS(donnée!AK:AK,"&gt;=1,0",donnée!CP:CP,"oui")</f>
        <v>0</v>
      </c>
      <c r="AM4">
        <f>COUNTIFS(donnée!AK:AK,"&gt;=1,0",donnée!CQ:CQ,"oui")</f>
        <v>0</v>
      </c>
      <c r="AN4">
        <f>COUNTIFS(donnée!AK:AK,"&gt;=1,0",donnée!CR:CR,"oui")</f>
        <v>0</v>
      </c>
      <c r="AO4">
        <f>COUNTIFS(donnée!AK:AK,"&gt;=1,0",donnée!CS:CS,"oui")</f>
        <v>0</v>
      </c>
      <c r="AR4" t="s">
        <v>60</v>
      </c>
      <c r="AS4">
        <f>COUNTIFS(donnée!AK:AK,"&gt;=1,0",donnée!CT:CT,"oui")</f>
        <v>0</v>
      </c>
      <c r="AT4">
        <f>COUNTIFS(donnée!AK:AK,"&gt;=1,0",donnée!CU:CU,"oui")</f>
        <v>0</v>
      </c>
      <c r="AU4">
        <f>COUNTIFS(donnée!AK:AK,"&gt;=1,0",donnée!CV:CV,"oui")</f>
        <v>0</v>
      </c>
      <c r="AV4">
        <f>COUNTIFS(donnée!AK:AK,"&gt;=1,0",donnée!CW:CW,"oui")</f>
        <v>0</v>
      </c>
      <c r="AW4">
        <f>COUNTIFS(donnée!AK:AK,"&gt;=1,0",donnée!CX:CX,"oui")</f>
        <v>0</v>
      </c>
      <c r="AX4">
        <f>COUNTIFS(donnée!AK:AK,"&gt;=1,0",donnée!CY:CY,"oui")</f>
        <v>0</v>
      </c>
      <c r="AY4">
        <f>COUNTIFS(donnée!AK:AK,"&gt;=1,0",donnée!CZ:CZ,"oui")</f>
        <v>0</v>
      </c>
    </row>
    <row r="5" spans="2:52" x14ac:dyDescent="0.2">
      <c r="B5" t="s">
        <v>61</v>
      </c>
      <c r="C5">
        <f>COUNTIFS(donnée!AK:AK,"&gt;=0,76",donnée!AK:AK,"&lt;=1,0",donnée!BO:BO,"oui")</f>
        <v>0</v>
      </c>
      <c r="D5">
        <f>COUNTIFS(donnée!AK:AK,"&gt;=0,76",donnée!AK:AK,"&lt;=1,0",donnée!BP:BP,"oui")</f>
        <v>0</v>
      </c>
      <c r="E5">
        <f>COUNTIFS(donnée!AK:AK,"&gt;=0,76",donnée!AK:AK,"&lt;=1,0",donnée!BQ:BQ,"oui")</f>
        <v>0</v>
      </c>
      <c r="F5">
        <f>COUNTIFS(donnée!AK:AK,"&gt;=0,76",donnée!AK:AK,"&lt;=1,0",donnée!BR:BR,"oui")</f>
        <v>0</v>
      </c>
      <c r="G5">
        <f>COUNTIFS(donnée!AK:AK,"&gt;=0,76",donnée!AK:AK,"&lt;=1,0",donnée!BS:BS,"oui")</f>
        <v>0</v>
      </c>
      <c r="H5">
        <f>COUNTIFS(donnée!AK:AK,"&gt;=0,76",donnée!AK:AK,"&lt;=1,0",donnée!BT:BT,"oui")</f>
        <v>0</v>
      </c>
      <c r="I5" t="s">
        <v>61</v>
      </c>
      <c r="J5">
        <f>COUNTIFS(donnée!AK:AK,"&gt;=0,76",donnée!AK:AK,"&lt;=1,0",donnée!BU:BU,"oui")</f>
        <v>0</v>
      </c>
      <c r="K5">
        <f>COUNTIFS(donnée!AK:AK,"&gt;=0,76",donnée!AK:AK,"&lt;=1,0",donnée!BV:BV,"oui")</f>
        <v>0</v>
      </c>
      <c r="L5">
        <f>COUNTIFS(donnée!AK:AK,"&gt;=0,76",donnée!AK:AK,"&lt;=1,0",donnée!BW:BW,"oui")</f>
        <v>0</v>
      </c>
      <c r="M5">
        <f>COUNTIFS(donnée!AK:AK,"&gt;=0,76",donnée!AK:AK,"&lt;=1,0",donnée!BX:BX,"oui")</f>
        <v>0</v>
      </c>
      <c r="N5">
        <f>COUNTIFS(donnée!AK:AK,"&gt;=0,76",donnée!AK:AK,"&lt;=1,0",donnée!BY:BY,"oui")</f>
        <v>0</v>
      </c>
      <c r="O5">
        <f>COUNTIFS(donnée!AK:AK,"&gt;=0,76",donnée!AK:AK,"&lt;=1,0",donnée!BZ:BZ,"oui")</f>
        <v>0</v>
      </c>
      <c r="P5" t="s">
        <v>61</v>
      </c>
      <c r="Q5">
        <f>COUNTIFS(donnée!AK:AK,"&gt;=0,76",donnée!AK:AK,"&lt;=1,0",donnée!CA:CA,"oui")</f>
        <v>0</v>
      </c>
      <c r="R5">
        <f>COUNTIFS(donnée!AK:AK,"&gt;=0,76",donnée!AK:AK,"&lt;=1,0",donnée!CB:CB,"oui")</f>
        <v>0</v>
      </c>
      <c r="S5">
        <f>COUNTIFS(donnée!AK:AK,"&gt;=0,76",donnée!AK:AK,"&lt;=1,0",donnée!CC:CC,"oui")</f>
        <v>0</v>
      </c>
      <c r="T5">
        <f>COUNTIFS(donnée!AK:AK,"&gt;=0,76",donnée!AK:AK,"&lt;=1,0",donnée!CD:CD,"oui")</f>
        <v>0</v>
      </c>
      <c r="U5">
        <f>COUNTIFS(donnée!AK:AK,"&gt;=0,76",donnée!AK:AK,"&lt;=1,0",donnée!CE:CE,"oui")</f>
        <v>0</v>
      </c>
      <c r="V5">
        <f>COUNTIFS(donnée!AK:AK,"&gt;=0,76",donnée!AK:AK,"&lt;=1,0",donnée!CF:CF,"oui")</f>
        <v>0</v>
      </c>
      <c r="W5" t="s">
        <v>61</v>
      </c>
      <c r="X5">
        <f>COUNTIFS(donnée!AK:AK,"&gt;=0,76",donnée!AK:AK,"&lt;=1,0",donnée!CG:CG,"oui")</f>
        <v>0</v>
      </c>
      <c r="Y5">
        <f>COUNTIFS(donnée!AK:AK,"&gt;=0,76",donnée!AK:AK,"&lt;=1,0",donnée!CH:CH,"oui")</f>
        <v>0</v>
      </c>
      <c r="Z5">
        <f>COUNTIFS(donnée!AK:AK,"&gt;=0,76",donnée!AK:AK,"&lt;=1,0",donnée!CI:CI,"oui")</f>
        <v>0</v>
      </c>
      <c r="AA5">
        <f>COUNTIFS(donnée!AK:AK,"&gt;=0,76",donnée!AK:AK,"&lt;=1,0",donnée!CJ:CJ,"oui")</f>
        <v>0</v>
      </c>
      <c r="AB5">
        <f>COUNTIFS(donnée!AK:AK,"&gt;=0,76",donnée!AK:AK,"&lt;=1,0",donnée!CK:CK,"oui")</f>
        <v>0</v>
      </c>
      <c r="AD5" t="s">
        <v>61</v>
      </c>
      <c r="AE5">
        <f>COUNTIFS(donnée!AK:AK,"&gt;=0,76",donnée!AK:AK,"&lt;=1,0",donnée!CL:CL,"oui")</f>
        <v>0</v>
      </c>
      <c r="AF5">
        <f>COUNTIFS(donnée!AK:AK,"&gt;=0,76",donnée!AK:AK,"&lt;=1,0",donnée!CM:CM,"oui")</f>
        <v>0</v>
      </c>
      <c r="AG5">
        <f>COUNTIFS(donnée!AK:AK,"&gt;=0,76",donnée!AK:AK,"&lt;=1,0",donnée!CN:CN,"oui")</f>
        <v>0</v>
      </c>
      <c r="AH5">
        <f>COUNTIFS(donnée!AK:AK,"&gt;=0,76",donnée!AK:AK,"&lt;=1,0",donnée!CO:CO,"oui")</f>
        <v>0</v>
      </c>
      <c r="AK5" t="s">
        <v>61</v>
      </c>
      <c r="AL5">
        <f>COUNTIFS(donnée!AK:AK,"&gt;=0,76",donnée!AK:AK,"&lt;=1,0",donnée!CP:CP,"oui")</f>
        <v>0</v>
      </c>
      <c r="AM5">
        <f>COUNTIFS(donnée!AK:AK,"&gt;=0,76",donnée!AK:AK,"&lt;=1,0",donnée!CQ:CQ,"oui")</f>
        <v>0</v>
      </c>
      <c r="AN5">
        <f>COUNTIFS(donnée!AK:AK,"&gt;=0,76",donnée!AK:AK,"&lt;=1,0",donnée!CR:CR,"oui")</f>
        <v>0</v>
      </c>
      <c r="AO5">
        <f>COUNTIFS(donnée!AK:AK,"&gt;=0,76",donnée!AK:AK,"&lt;=1,0",donnée!CS:CS,"oui")</f>
        <v>0</v>
      </c>
      <c r="AR5" t="s">
        <v>61</v>
      </c>
      <c r="AS5">
        <f>COUNTIFS(donnée!AK:AK,"&gt;=0,76",donnée!AK:AK,"&lt;=1,0",donnée!CT:CT,"oui")</f>
        <v>0</v>
      </c>
      <c r="AT5">
        <f>COUNTIFS(donnée!AK:AK,"&gt;=0,76",donnée!AK:AK,"&lt;=1,0",donnée!CU:CU,"oui")</f>
        <v>0</v>
      </c>
      <c r="AU5">
        <f>COUNTIFS(donnée!AK:AK,"&gt;=0,76",donnée!AK:AK,"&lt;=1,0",donnée!CV:CV,"oui")</f>
        <v>0</v>
      </c>
      <c r="AV5">
        <f>COUNTIFS(donnée!AK:AK,"&gt;=0,76",donnée!AK:AK,"&lt;=1,0",donnée!CW:CW,"oui")</f>
        <v>0</v>
      </c>
      <c r="AW5">
        <f>COUNTIFS(donnée!AK:AK,"&gt;=0,76",donnée!AK:AK,"&lt;=1,0",donnée!CX:CX,"oui")</f>
        <v>0</v>
      </c>
      <c r="AX5">
        <f>COUNTIFS(donnée!AK:AK,"&gt;=0,76",donnée!AK:AK,"&lt;=1,0",donnée!CY:CY,"oui")</f>
        <v>0</v>
      </c>
      <c r="AY5">
        <f>COUNTIFS(donnée!AK:AK,"&gt;=0,76",donnée!AK:AK,"&lt;=1,0",donnée!CZ:CZ,"oui")</f>
        <v>0</v>
      </c>
    </row>
    <row r="6" spans="2:52" x14ac:dyDescent="0.2">
      <c r="B6" t="s">
        <v>62</v>
      </c>
      <c r="C6">
        <f>COUNTIFS(donnée!AK:AK,"&gt;=+0,51",donnée!AK:AK,"&lt;=+0,75",donnée!BO:BO,"oui")</f>
        <v>0</v>
      </c>
      <c r="D6">
        <f>COUNTIFS(donnée!AK:AK,"&gt;=+0,51",donnée!AK:AK,"&lt;=+0,75",donnée!BP:BP,"oui")</f>
        <v>0</v>
      </c>
      <c r="E6">
        <f>COUNTIFS(donnée!AK:AK,"&gt;=+0,51",donnée!AK:AK,"&lt;=+0,75",donnée!BQ:BQ,"oui")</f>
        <v>0</v>
      </c>
      <c r="F6">
        <f>COUNTIFS(donnée!AK:AK,"&gt;=+0,51",donnée!AK:AK,"&lt;=+0,75",donnée!BR:BR,"oui")</f>
        <v>0</v>
      </c>
      <c r="G6">
        <f>COUNTIFS(donnée!AK:AK,"&gt;=+0,51",donnée!AK:AK,"&lt;=+0,75",donnée!BS:BS,"oui")</f>
        <v>0</v>
      </c>
      <c r="H6">
        <f>COUNTIFS(donnée!AK:AK,"&gt;=+0,51",donnée!AK:AK,"&lt;=+0,75",donnée!BT:BT,"oui")</f>
        <v>0</v>
      </c>
      <c r="I6" t="s">
        <v>62</v>
      </c>
      <c r="J6">
        <f>COUNTIFS(donnée!AK:AK,"&gt;=+0,51",donnée!AK:AK,"&lt;=+0,75",donnée!BU:BU,"oui")</f>
        <v>0</v>
      </c>
      <c r="K6">
        <f>COUNTIFS(donnée!AK:AK,"&gt;=+0,51",donnée!AK:AK,"&lt;=+0,75",donnée!BV:BV,"oui")</f>
        <v>0</v>
      </c>
      <c r="L6">
        <f>COUNTIFS(donnée!AK:AK,"&gt;=+0,51",donnée!AK:AK,"&lt;=+0,75",donnée!BW:BW,"oui")</f>
        <v>0</v>
      </c>
      <c r="M6">
        <f>COUNTIFS(donnée!AK:AK,"&gt;=+0,51",donnée!AK:AK,"&lt;=+0,75",donnée!BX:BX,"oui")</f>
        <v>0</v>
      </c>
      <c r="N6">
        <f>COUNTIFS(donnée!AK:AK,"&gt;=+0,51",donnée!AK:AK,"&lt;=+0,75",donnée!BY:BY,"oui")</f>
        <v>0</v>
      </c>
      <c r="O6">
        <f>COUNTIFS(donnée!AK:AK,"&gt;=+0,51",donnée!AK:AK,"&lt;=+0,75",donnée!BZ:BZ,"oui")</f>
        <v>0</v>
      </c>
      <c r="P6" t="s">
        <v>62</v>
      </c>
      <c r="Q6">
        <f>COUNTIFS(donnée!AK:AK,"&gt;=+0,51",donnée!AK:AK,"&lt;=+0,75",donnée!CA:CA,"oui")</f>
        <v>0</v>
      </c>
      <c r="R6">
        <f>COUNTIFS(donnée!AK:AK,"&gt;=+0,51",donnée!AK:AK,"&lt;=+0,75",donnée!CB:CB,"oui")</f>
        <v>0</v>
      </c>
      <c r="S6">
        <f>COUNTIFS(donnée!AM:AM,"&gt;=+0,51",donnée!AM:AM,"&lt;=+0,75",donnée!CC:CC,"oui")</f>
        <v>0</v>
      </c>
      <c r="T6">
        <f>COUNTIFS(donnée!AK:AK,"&gt;=+0,51",donnée!AK:AK,"&lt;=+0,75",donnée!CD:CD,"oui")</f>
        <v>0</v>
      </c>
      <c r="U6">
        <f>COUNTIFS(donnée!AK:AK,"&gt;=+0,51",donnée!AK:AK,"&lt;=+0,75",donnée!CE:CE,"oui")</f>
        <v>0</v>
      </c>
      <c r="V6">
        <f>COUNTIFS(donnée!AK:AK,"&gt;=+0,51",donnée!AK:AK,"&lt;=+0,75",donnée!CF:CF,"oui")</f>
        <v>0</v>
      </c>
      <c r="W6" t="s">
        <v>62</v>
      </c>
      <c r="X6">
        <f>COUNTIFS(donnée!AK:AK,"&gt;=+0,51",donnée!AK:AK,"&lt;=+0,75",donnée!CG:CG,"oui")</f>
        <v>0</v>
      </c>
      <c r="Y6">
        <f>COUNTIFS(donnée!AK:AK,"&gt;=+0,51",donnée!AK:AK,"&lt;=+0,75",donnée!CH:CH,"oui")</f>
        <v>0</v>
      </c>
      <c r="Z6">
        <f>COUNTIFS(donnée!AK:AK,"&gt;=+0,51",donnée!AK:AK,"&lt;=+0,75",donnée!CI:CI,"oui")</f>
        <v>0</v>
      </c>
      <c r="AA6">
        <f>COUNTIFS(donnée!AK:AK,"&gt;=+0,51",donnée!AK:AK,"&lt;=+0,75",donnée!CJ:CJ,"oui")</f>
        <v>0</v>
      </c>
      <c r="AB6">
        <f>COUNTIFS(donnée!AK:AK,"&gt;=+0,51",donnée!AK:AK,"&lt;=+0,75",donnée!CK:CK,"oui")</f>
        <v>0</v>
      </c>
      <c r="AD6" t="s">
        <v>62</v>
      </c>
      <c r="AE6">
        <f>COUNTIFS(donnée!AK:AK,"&gt;=+0,51",donnée!AK:AK,"&lt;=+0,75",donnée!CL:CL,"oui")</f>
        <v>0</v>
      </c>
      <c r="AF6">
        <f>COUNTIFS(donnée!AK:AK,"&gt;=+0,51",donnée!AK:AK,"&lt;=+0,75",donnée!CM:CM,"oui")</f>
        <v>0</v>
      </c>
      <c r="AG6">
        <f>COUNTIFS(donnée!AK:AK,"&gt;=+0,51",donnée!AK:AK,"&lt;=+0,75",donnée!CN:CN,"oui")</f>
        <v>0</v>
      </c>
      <c r="AH6">
        <f>COUNTIFS(donnée!AK:AK,"&gt;=+0,51",donnée!AK:AK,"&lt;=+0,75",donnée!CO:CO,"oui")</f>
        <v>0</v>
      </c>
      <c r="AK6" t="s">
        <v>62</v>
      </c>
      <c r="AL6">
        <f>COUNTIFS(donnée!AK:AK,"&gt;=+0,51",donnée!AK:AK,"&lt;=+0,75",donnée!CP:CP,"oui")</f>
        <v>0</v>
      </c>
      <c r="AM6">
        <f>COUNTIFS(donnée!AK:AK,"&gt;=+0,51",donnée!AK:AK,"&lt;=+0,75",donnée!CQ:CQ,"oui")</f>
        <v>0</v>
      </c>
      <c r="AN6">
        <f>COUNTIFS(donnée!AK:AK,"&gt;=+0,51",donnée!AK:AK,"&lt;=+0,75",donnée!CR:CR,"oui")</f>
        <v>0</v>
      </c>
      <c r="AO6">
        <f>COUNTIFS(donnée!AK:AK,"&gt;=+0,51",donnée!AK:AK,"&lt;=+0,75",donnée!CS:CS,"oui")</f>
        <v>0</v>
      </c>
      <c r="AR6" t="s">
        <v>62</v>
      </c>
      <c r="AS6">
        <f>COUNTIFS(donnée!AK:AK,"&gt;=+0,51",donnée!AK:AK,"&lt;=+0,75",donnée!CT:CT,"oui")</f>
        <v>0</v>
      </c>
      <c r="AT6">
        <f>COUNTIFS(donnée!AK:AK,"&gt;=+0,51",donnée!AK:AK,"&lt;=+0,75",donnée!CU:CU,"oui")</f>
        <v>0</v>
      </c>
      <c r="AU6">
        <f>COUNTIFS(donnée!AK:AK,"&gt;=+0,51",donnée!AK:AK,"&lt;=+0,75",donnée!CV:CV,"oui")</f>
        <v>0</v>
      </c>
      <c r="AV6">
        <f>COUNTIFS(donnée!AK:AK,"&gt;=+0,51",donnée!AK:AK,"&lt;=+0,75",donnée!CW:CW,"oui")</f>
        <v>0</v>
      </c>
      <c r="AW6">
        <f>COUNTIFS(donnée!AK:AK,"&gt;=+0,51",donnée!AK:AK,"&lt;=+0,75",donnée!CX:CX,"oui")</f>
        <v>0</v>
      </c>
      <c r="AX6">
        <f>COUNTIFS(donnée!AK:AK,"&gt;=+0,51",donnée!AK:AK,"&lt;=+0,75",donnée!CY:CY,"oui")</f>
        <v>0</v>
      </c>
      <c r="AY6">
        <f>COUNTIFS(donnée!AK:AK,"&gt;=+0,51",donnée!AK:AK,"&lt;=+0,75",donnée!CZ:CZ,"oui")</f>
        <v>0</v>
      </c>
    </row>
    <row r="7" spans="2:52" x14ac:dyDescent="0.2">
      <c r="B7" t="s">
        <v>63</v>
      </c>
      <c r="C7">
        <f>COUNTIFS(donnée!AK:AK,"&gt;=+0,26",donnée!AK:AK,"&lt;=+0,50",donnée!BO:BO,"oui")</f>
        <v>0</v>
      </c>
      <c r="D7">
        <f>COUNTIFS(donnée!AK:AK,"&gt;=+0,26",donnée!AK:AK,"&lt;=+0,50",donnée!BP:BP,"oui")</f>
        <v>0</v>
      </c>
      <c r="E7">
        <f>COUNTIFS(donnée!AK:AK,"&gt;=+0,26",donnée!AK:AK,"&lt;=+0,50",donnée!BQ:BQ,"oui")</f>
        <v>0</v>
      </c>
      <c r="F7">
        <f>COUNTIFS(donnée!AK:AK,"&gt;=+0,26",donnée!AK:AK,"&lt;=+0,50",donnée!BR:BR,"oui")</f>
        <v>0</v>
      </c>
      <c r="G7">
        <f>COUNTIFS(donnée!AK:AK,"&gt;=+0,26",donnée!AK:AK,"&lt;=+0,50",donnée!BS:BS,"oui")</f>
        <v>0</v>
      </c>
      <c r="H7">
        <f>COUNTIFS(donnée!AK:AK,"&gt;=+0,26",donnée!AK:AK,"&lt;=+0,50",donnée!BT:BT,"oui")</f>
        <v>0</v>
      </c>
      <c r="I7" t="s">
        <v>63</v>
      </c>
      <c r="J7">
        <f>COUNTIFS(donnée!AK:AK,"&gt;=+0,26",donnée!AK:AK,"&lt;=+0,50",donnée!BU:BU,"oui")</f>
        <v>0</v>
      </c>
      <c r="K7">
        <f>COUNTIFS(donnée!AK:AK,"&gt;=+0,26",donnée!AK:AK,"&lt;=+0,50",donnée!BV:BV,"oui")</f>
        <v>0</v>
      </c>
      <c r="L7">
        <f>COUNTIFS(donnée!AK:AK,"&gt;=+0,26",donnée!AK:AK,"&lt;=+0,50",donnée!BW:BW,"oui")</f>
        <v>0</v>
      </c>
      <c r="M7">
        <f>COUNTIFS(donnée!AK:AK,"&gt;=+0,26",donnée!AK:AK,"&lt;=+0,50",donnée!BX:BX,"oui")</f>
        <v>0</v>
      </c>
      <c r="N7">
        <f>COUNTIFS(donnée!AK:AK,"&gt;=+0,26",donnée!AK:AK,"&lt;=+0,50",donnée!BY:BY,"oui")</f>
        <v>0</v>
      </c>
      <c r="O7">
        <f>COUNTIFS(donnée!AK:AK,"&gt;=+0,26",donnée!AK:AK,"&lt;=+0,50",donnée!BZ:BZ,"oui")</f>
        <v>0</v>
      </c>
      <c r="P7" t="s">
        <v>63</v>
      </c>
      <c r="Q7">
        <f>COUNTIFS(donnée!AK:AK,"&gt;=+0,26",donnée!AK:AK,"&lt;=+0,50",donnée!CA:CA,"oui")</f>
        <v>0</v>
      </c>
      <c r="R7">
        <f>COUNTIFS(donnée!AK:AK,"&gt;=+0,26",donnée!AK:AK,"&lt;=+0,50",donnée!CB:CB,"oui")</f>
        <v>0</v>
      </c>
      <c r="S7">
        <f>COUNTIFS(donnée!AK:AK,"&gt;=+0,26",donnée!AK:AK,"&lt;=+0,50",donnée!CC:CC,"oui")</f>
        <v>0</v>
      </c>
      <c r="T7">
        <f>COUNTIFS(donnée!AK:AK,"&gt;=+0,26",donnée!AK:AK,"&lt;=+0,50",donnée!CD:CD,"oui")</f>
        <v>0</v>
      </c>
      <c r="U7">
        <f>COUNTIFS(donnée!AK:AK,"&gt;=+0,26",donnée!AK:AK,"&lt;=+0,50",donnée!CE:CE,"oui")</f>
        <v>0</v>
      </c>
      <c r="V7">
        <f>COUNTIFS(donnée!AK:AK,"&gt;=+0,26",donnée!AK:AK,"&lt;=+0,50",donnée!CF:CF,"oui")</f>
        <v>0</v>
      </c>
      <c r="W7" t="s">
        <v>63</v>
      </c>
      <c r="X7">
        <f>COUNTIFS(donnée!AK:AK,"&gt;=+0,26",donnée!AK:AK,"&lt;=+0,50",donnée!CG:CG,"oui")</f>
        <v>0</v>
      </c>
      <c r="Y7">
        <f>COUNTIFS(donnée!AK:AK,"&gt;=+0,26",donnée!AK:AK,"&lt;=+0,50",donnée!CH:CH,"oui")</f>
        <v>0</v>
      </c>
      <c r="Z7">
        <f>COUNTIFS(donnée!AK:AK,"&gt;=+0,26",donnée!AK:AK,"&lt;=+0,50",donnée!CI:CI,"oui")</f>
        <v>0</v>
      </c>
      <c r="AA7">
        <f>COUNTIFS(donnée!AK:AK,"&gt;=+0,26",donnée!AK:AK,"&lt;=+0,50",donnée!CJ:CJ,"oui")</f>
        <v>0</v>
      </c>
      <c r="AB7">
        <f>COUNTIFS(donnée!AK:AK,"&gt;=+0,26",donnée!AK:AK,"&lt;=+0,50",donnée!CK:CK,"oui")</f>
        <v>0</v>
      </c>
      <c r="AD7" t="s">
        <v>63</v>
      </c>
      <c r="AE7">
        <f>COUNTIFS(donnée!AK:AK,"&gt;=+0,26",donnée!AK:AK,"&lt;=+0,50",donnée!CL:CL,"oui")</f>
        <v>0</v>
      </c>
      <c r="AF7">
        <f>COUNTIFS(donnée!AK:AK,"&gt;=+0,26",donnée!AK:AK,"&lt;=+0,50",donnée!CM:CM,"oui")</f>
        <v>0</v>
      </c>
      <c r="AG7">
        <f>COUNTIFS(donnée!AK:AK,"&gt;=+0,26",donnée!AK:AK,"&lt;=+0,50",donnée!CN:CN,"oui")</f>
        <v>0</v>
      </c>
      <c r="AH7">
        <f>COUNTIFS(donnée!AK:AK,"&gt;=+0,26",donnée!AK:AK,"&lt;=+0,50",donnée!CO:CO,"oui")</f>
        <v>0</v>
      </c>
      <c r="AK7" t="s">
        <v>63</v>
      </c>
      <c r="AL7">
        <f>COUNTIFS(donnée!AK:AK,"&gt;=+0,26",donnée!AK:AK,"&lt;=+0,50",donnée!CP:CP,"oui")</f>
        <v>0</v>
      </c>
      <c r="AM7">
        <f>COUNTIFS(donnée!AK:AK,"&gt;=+0,26",donnée!AK:AK,"&lt;=+0,50",donnée!CQ:CQ,"oui")</f>
        <v>0</v>
      </c>
      <c r="AN7">
        <f>COUNTIFS(donnée!AK:AK,"&gt;=+0,26",donnée!AK:AK,"&lt;=+0,50",donnée!CR:CR,"oui")</f>
        <v>0</v>
      </c>
      <c r="AO7">
        <f>COUNTIFS(donnée!AK:AK,"&gt;=+0,26",donnée!AK:AK,"&lt;=+0,50",donnée!CS:CS,"oui")</f>
        <v>0</v>
      </c>
      <c r="AR7" t="s">
        <v>63</v>
      </c>
      <c r="AS7">
        <f>COUNTIFS(donnée!AK:AK,"&gt;=+0,26",donnée!AK:AK,"&lt;=+0,50",donnée!CT:CT,"oui")</f>
        <v>0</v>
      </c>
      <c r="AT7">
        <f>COUNTIFS(donnée!AK:AK,"&gt;=+0,26",donnée!AK:AK,"&lt;=+0,50",donnée!CU:CU,"oui")</f>
        <v>0</v>
      </c>
      <c r="AU7">
        <f>COUNTIFS(donnée!AK:AK,"&gt;=+0,26",donnée!AK:AK,"&lt;=+0,50",donnée!CV:CV,"oui")</f>
        <v>0</v>
      </c>
      <c r="AV7">
        <f>COUNTIFS(donnée!AK:AK,"&gt;=+0,26",donnée!AK:AK,"&lt;=+0,50",donnée!CW:CW,"oui")</f>
        <v>0</v>
      </c>
      <c r="AW7">
        <f>COUNTIFS(donnée!AK:AK,"&gt;=+0,26",donnée!AK:AK,"&lt;=+0,50",donnée!CX:CX,"oui")</f>
        <v>0</v>
      </c>
      <c r="AX7">
        <f>COUNTIFS(donnée!AK:AK,"&gt;=+0,26",donnée!AK:AK,"&lt;=+0,50",donnée!CY:CY,"oui")</f>
        <v>0</v>
      </c>
      <c r="AY7">
        <f>COUNTIFS(donnée!AK:AK,"&gt;=+0,26",donnée!AK:AK,"&lt;=+0,50",donnée!CZ:CZ,"oui")</f>
        <v>0</v>
      </c>
    </row>
    <row r="8" spans="2:52" x14ac:dyDescent="0.2">
      <c r="B8" t="s">
        <v>64</v>
      </c>
      <c r="C8">
        <f>COUNTIFS(donnée!AK:AK,"&gt;=-0,25",donnée!AK:AK,"&lt;=+0,25",donnée!BO:BO,"oui")</f>
        <v>0</v>
      </c>
      <c r="D8">
        <f>COUNTIFS(donnée!AK:AK,"&gt;=-0,25",donnée!AK:AK,"&lt;=+0,25",donnée!BP:BP,"oui")</f>
        <v>0</v>
      </c>
      <c r="E8">
        <f>COUNTIFS(donnée!AK:AK,"&gt;=-0,25",donnée!AK:AK,"&lt;=+0,25",donnée!BQ:BQ,"oui")</f>
        <v>0</v>
      </c>
      <c r="F8">
        <f>COUNTIFS(donnée!AK:AK,"&gt;=-0,25",donnée!AK:AK,"&lt;=+0,25",donnée!BR:BR,"oui")</f>
        <v>0</v>
      </c>
      <c r="G8">
        <f>COUNTIFS(donnée!AK:AK,"&gt;=-0,25",donnée!AK:AK,"&lt;=+0,25",donnée!BS:BS,"oui")</f>
        <v>0</v>
      </c>
      <c r="H8">
        <f>COUNTIFS(donnée!AK:AK,"&gt;=-0,25",donnée!AK:AK,"&lt;=+0,25",donnée!BT:BT,"oui")</f>
        <v>0</v>
      </c>
      <c r="I8" t="s">
        <v>64</v>
      </c>
      <c r="J8">
        <f>COUNTIFS(donnée!AK:AK,"&gt;=-0,25",donnée!AK:AK,"&lt;=+0,25",donnée!BU:BU,"oui")</f>
        <v>0</v>
      </c>
      <c r="K8">
        <f>COUNTIFS(donnée!AK:AK,"&gt;=-0,25",donnée!AK:AK,"&lt;=+0,25",donnée!BV:BV,"oui")</f>
        <v>0</v>
      </c>
      <c r="L8">
        <f>COUNTIFS(donnée!AK:AK,"&gt;=-0,25",donnée!AK:AK,"&lt;=+0,25",donnée!BW:BW,"oui")</f>
        <v>0</v>
      </c>
      <c r="M8">
        <f>COUNTIFS(donnée!AK:AK,"&gt;=-0,25",donnée!AK:AK,"&lt;=+0,25",donnée!BX:BX,"oui")</f>
        <v>0</v>
      </c>
      <c r="N8">
        <f>COUNTIFS(donnée!AK:AK,"&gt;=-0,25",donnée!AK:AK,"&lt;=+0,25",donnée!BY:BY,"oui")</f>
        <v>0</v>
      </c>
      <c r="O8">
        <f>COUNTIFS(donnée!AK:AK,"&gt;=-0,25",donnée!AK:AK,"&lt;=+0,25",donnée!BZ:BZ,"oui")</f>
        <v>0</v>
      </c>
      <c r="P8" t="s">
        <v>64</v>
      </c>
      <c r="Q8">
        <f>COUNTIFS(donnée!AK:AK,"&gt;=-0,25",donnée!AK:AK,"&lt;=+0,25",donnée!CA:CA,"oui")</f>
        <v>0</v>
      </c>
      <c r="R8">
        <f>COUNTIFS(donnée!AK:AK,"&gt;=-0,25",donnée!AK:AK,"&lt;=+0,25",donnée!CB:CB,"oui")</f>
        <v>0</v>
      </c>
      <c r="S8">
        <f>COUNTIFS(donnée!AK:AK,"&gt;=-0,25",donnée!AK:AK,"&lt;=+0,25",donnée!CC:CC,"oui")</f>
        <v>0</v>
      </c>
      <c r="T8">
        <f>COUNTIFS(donnée!AK:AK,"&gt;=-0,25",donnée!AK:AK,"&lt;=+0,25",donnée!CD:CD,"oui")</f>
        <v>0</v>
      </c>
      <c r="U8">
        <f>COUNTIFS(donnée!AK:AK,"&gt;=-0,25",donnée!AK:AK,"&lt;=+0,25",donnée!CE:CE,"oui")</f>
        <v>0</v>
      </c>
      <c r="V8">
        <f>COUNTIFS(donnée!AK:AK,"&gt;=-0,25",donnée!AK:AK,"&lt;=+0,25",donnée!CF:CF,"oui")</f>
        <v>0</v>
      </c>
      <c r="W8" t="s">
        <v>64</v>
      </c>
      <c r="X8">
        <f>COUNTIFS(donnée!AK:AK,"&gt;=-0,25",donnée!AK:AK,"&lt;=+0,25",donnée!CG:CG,"oui")</f>
        <v>0</v>
      </c>
      <c r="Y8">
        <f>COUNTIFS(donnée!AK:AK,"&gt;=-0,25",donnée!AK:AK,"&lt;=+0,25",donnée!CH:CH,"oui")</f>
        <v>0</v>
      </c>
      <c r="Z8">
        <f>COUNTIFS(donnée!AK:AK,"&gt;=-0,25",donnée!AK:AK,"&lt;=+0,25",donnée!CI:CI,"oui")</f>
        <v>0</v>
      </c>
      <c r="AA8">
        <f>COUNTIFS(donnée!AK:AK,"&gt;=-0,25",donnée!AK:AK,"&lt;=+0,25",donnée!CJ:CJ,"oui")</f>
        <v>0</v>
      </c>
      <c r="AB8">
        <f>COUNTIFS(donnée!AK:AK,"&gt;=-0,25",donnée!AK:AK,"&lt;=+0,25",donnée!CK:CK,"oui")</f>
        <v>0</v>
      </c>
      <c r="AD8" t="s">
        <v>64</v>
      </c>
      <c r="AE8">
        <f>COUNTIFS(donnée!AK:AK,"&gt;=-0,25",donnée!AK:AK,"&lt;=+0,25",donnée!CL:CL,"oui")</f>
        <v>0</v>
      </c>
      <c r="AF8">
        <f>COUNTIFS(donnée!AK:AK,"&gt;=-0,25",donnée!AK:AK,"&lt;=+0,25",donnée!CM:CM,"oui")</f>
        <v>0</v>
      </c>
      <c r="AG8">
        <f>COUNTIFS(donnée!AK:AK,"&gt;=-0,25",donnée!AK:AK,"&lt;=+0,25",donnée!CN:CN,"oui")</f>
        <v>0</v>
      </c>
      <c r="AH8">
        <f>COUNTIFS(donnée!AK:AK,"&gt;=-0,25",donnée!AK:AK,"&lt;=+0,25",donnée!CO:CO,"oui")</f>
        <v>0</v>
      </c>
      <c r="AK8" t="s">
        <v>64</v>
      </c>
      <c r="AL8">
        <f>COUNTIFS(donnée!AK:AK,"&gt;=-0,25",donnée!AK:AK,"&lt;=+0,25",donnée!CP:CP,"oui")</f>
        <v>0</v>
      </c>
      <c r="AM8">
        <f>COUNTIFS(donnée!AK:AK,"&gt;=-0,25",donnée!AK:AK,"&lt;=+0,25",donnée!CQ:CQ,"oui")</f>
        <v>0</v>
      </c>
      <c r="AN8">
        <f>COUNTIFS(donnée!AK:AK,"&gt;=-0,25",donnée!AK:AK,"&lt;=+0,25",donnée!CR:CR,"oui")</f>
        <v>0</v>
      </c>
      <c r="AO8">
        <f>COUNTIFS(donnée!AK:AK,"&gt;=-0,25",donnée!AK:AK,"&lt;=+0,25",donnée!CS:CS,"oui")</f>
        <v>0</v>
      </c>
      <c r="AR8" t="s">
        <v>64</v>
      </c>
      <c r="AS8">
        <f>COUNTIFS(donnée!AK:AK,"&gt;=-0,25",donnée!AK:AK,"&lt;=+0,25",donnée!CT:CT,"oui")</f>
        <v>0</v>
      </c>
      <c r="AT8">
        <f>COUNTIFS(donnée!AK:AK,"&gt;=-0,25",donnée!AK:AK,"&lt;=+0,25",donnée!CU:CU,"oui")</f>
        <v>0</v>
      </c>
      <c r="AU8">
        <f>COUNTIFS(donnée!AK:AK,"&gt;=-0,25",donnée!AK:AK,"&lt;=+0,25",donnée!CV:CV,"oui")</f>
        <v>0</v>
      </c>
      <c r="AV8">
        <f>COUNTIFS(donnée!AK:AK,"&gt;=-0,25",donnée!AK:AK,"&lt;=+0,25",donnée!CW:CW,"oui")</f>
        <v>0</v>
      </c>
      <c r="AW8">
        <f>COUNTIFS(donnée!AK:AK,"&gt;=-0,25",donnée!AK:AK,"&lt;=+0,25",donnée!CX:CX,"oui")</f>
        <v>0</v>
      </c>
      <c r="AX8">
        <f>COUNTIFS(donnée!AK:AK,"&gt;=-0,25",donnée!AK:AK,"&lt;=+0,25",donnée!CY:CY,"oui")</f>
        <v>0</v>
      </c>
      <c r="AY8">
        <f>COUNTIFS(donnée!AK:AK,"&gt;=-0,25",donnée!AK:AK,"&lt;=+0,25",donnée!CZ:CZ,"oui")</f>
        <v>0</v>
      </c>
    </row>
    <row r="9" spans="2:52" x14ac:dyDescent="0.2">
      <c r="B9" t="s">
        <v>65</v>
      </c>
      <c r="C9">
        <f>COUNTIFS(donnée!AK:AK,"&gt;=-0,50",donnée!AK:AK,"&lt;=-0,26",donnée!BO:BO,"oui")</f>
        <v>0</v>
      </c>
      <c r="D9">
        <f>COUNTIFS(donnée!AK:AK,"&gt;=-0,50",donnée!AK:AK,"&lt;=-0,26",donnée!BP:BP,"oui")</f>
        <v>0</v>
      </c>
      <c r="E9">
        <f>COUNTIFS(donnée!AK:AK,"&gt;=-0,50",donnée!AK:AK,"&lt;=-0,26",donnée!BQ:BQ,"oui")</f>
        <v>0</v>
      </c>
      <c r="F9">
        <f>COUNTIFS(donnée!AK:AK,"&gt;=-0,50",donnée!AK:AK,"&lt;=-0,26",donnée!BR:BR,"oui")</f>
        <v>0</v>
      </c>
      <c r="G9">
        <f>COUNTIFS(donnée!AK:AK,"&gt;=-0,50",donnée!AK:AK,"&lt;=-0,26",donnée!BS:BS,"oui")</f>
        <v>0</v>
      </c>
      <c r="H9">
        <f>COUNTIFS(donnée!AK:AK,"&gt;=-0,50",donnée!AK:AK,"&lt;=-0,26",donnée!BT:BT,"oui")</f>
        <v>0</v>
      </c>
      <c r="I9" t="s">
        <v>65</v>
      </c>
      <c r="J9">
        <f>COUNTIFS(donnée!AK:AK,"&gt;=-0,50",donnée!AK:AK,"&lt;=-0,26",donnée!BU:BU,"oui")</f>
        <v>0</v>
      </c>
      <c r="K9">
        <f>COUNTIFS(donnée!AK:AK,"&gt;=-0,50",donnée!AK:AK,"&lt;=-0,26",donnée!BV:BV,"oui")</f>
        <v>0</v>
      </c>
      <c r="L9">
        <f>COUNTIFS(donnée!AK:AK,"&gt;=-0,50",donnée!AK:AK,"&lt;=-0,26",donnée!BW:BW,"oui")</f>
        <v>0</v>
      </c>
      <c r="M9">
        <f>COUNTIFS(donnée!AK:AK,"&gt;=-0,50",donnée!AK:AK,"&lt;=-0,26",donnée!BX:BX,"oui")</f>
        <v>0</v>
      </c>
      <c r="N9">
        <f>COUNTIFS(donnée!AK:AK,"&gt;=-0,50",donnée!AK:AK,"&lt;=-0,26",donnée!BY:BY,"oui")</f>
        <v>0</v>
      </c>
      <c r="O9">
        <f>COUNTIFS(donnée!AK:AK,"&gt;=-0,50",donnée!AK:AK,"&lt;=-0,26",donnée!BZ:BZ,"oui")</f>
        <v>0</v>
      </c>
      <c r="P9" t="s">
        <v>65</v>
      </c>
      <c r="Q9">
        <f>COUNTIFS(donnée!AK:AK,"&gt;=-0,50",donnée!AK:AK,"&lt;=-0,26",donnée!CA:CA,"oui")</f>
        <v>0</v>
      </c>
      <c r="R9">
        <f>COUNTIFS(donnée!AK:AK,"&gt;=-0,50",donnée!AK:AK,"&lt;=-0,26",donnée!CB:CB,"oui")</f>
        <v>0</v>
      </c>
      <c r="S9">
        <f>COUNTIFS(donnée!AK:AK,"&gt;=-0,50",donnée!AK:AK,"&lt;=-0,26",donnée!CC:CC,"oui")</f>
        <v>0</v>
      </c>
      <c r="T9">
        <f>COUNTIFS(donnée!AK:AK,"&gt;=-0,50",donnée!AK:AK,"&lt;=-0,26",donnée!CD:CD,"oui")</f>
        <v>0</v>
      </c>
      <c r="U9">
        <f>COUNTIFS(donnée!AK:AK,"&gt;=-0,50",donnée!AK:AK,"&lt;=-0,26",donnée!CE:CE,"oui")</f>
        <v>0</v>
      </c>
      <c r="V9">
        <f>COUNTIFS(donnée!AK:AK,"&gt;=-0,50",donnée!AK:AK,"&lt;=-0,26",donnée!CF:CF,"oui")</f>
        <v>0</v>
      </c>
      <c r="W9" t="s">
        <v>65</v>
      </c>
      <c r="X9">
        <f>COUNTIFS(donnée!AK:AK,"&gt;=-0,50",donnée!AK:AK,"&lt;=-0,26",donnée!CG:CG,"oui")</f>
        <v>0</v>
      </c>
      <c r="Y9">
        <f>COUNTIFS(donnée!AK:AK,"&gt;=-0,50",donnée!AK:AK,"&lt;=-0,26",donnée!CH:CH,"oui")</f>
        <v>0</v>
      </c>
      <c r="Z9">
        <f>COUNTIFS(donnée!AK:AK,"&gt;=-0,50",donnée!AK:AK,"&lt;=-0,26",donnée!CI:CI,"oui")</f>
        <v>0</v>
      </c>
      <c r="AA9">
        <f>COUNTIFS(donnée!AK:AK,"&gt;=-0,50",donnée!AK:AK,"&lt;=-0,26",donnée!CJ:CJ,"oui")</f>
        <v>0</v>
      </c>
      <c r="AB9">
        <f>COUNTIFS(donnée!AK:AK,"&gt;=-0,50",donnée!AK:AK,"&lt;=-0,26",donnée!CK:CK,"oui")</f>
        <v>0</v>
      </c>
      <c r="AD9" t="s">
        <v>65</v>
      </c>
      <c r="AE9">
        <f>COUNTIFS(donnée!AK:AK,"&gt;=-0,50",donnée!AK:AK,"&lt;=-0,26",donnée!CL:CL,"oui")</f>
        <v>0</v>
      </c>
      <c r="AF9">
        <f>COUNTIFS(donnée!AK:AK,"&gt;=-0,50",donnée!AK:AK,"&lt;=-0,26",donnée!CM:CM,"oui")</f>
        <v>0</v>
      </c>
      <c r="AG9">
        <f>COUNTIFS(donnée!AK:AK,"&gt;=-0,50",donnée!AK:AK,"&lt;=-0,26",donnée!CN:CN,"oui")</f>
        <v>0</v>
      </c>
      <c r="AH9">
        <f>COUNTIFS(donnée!AK:AK,"&gt;=-0,50",donnée!AK:AK,"&lt;=-0,26",donnée!CO:CO,"oui")</f>
        <v>0</v>
      </c>
      <c r="AK9" t="s">
        <v>65</v>
      </c>
      <c r="AL9">
        <f>COUNTIFS(donnée!AK:AK,"&gt;=-0,50",donnée!AK:AK,"&lt;=-0,26",donnée!CP:CP,"oui")</f>
        <v>0</v>
      </c>
      <c r="AM9">
        <f>COUNTIFS(donnée!AK:AK,"&gt;=-0,50",donnée!AK:AK,"&lt;=-0,26",donnée!CQ:CQ,"oui")</f>
        <v>0</v>
      </c>
      <c r="AN9">
        <f>COUNTIFS(donnée!AK:AK,"&gt;=-0,50",donnée!AK:AK,"&lt;=-0,26",donnée!CR:CR,"oui")</f>
        <v>0</v>
      </c>
      <c r="AO9">
        <f>COUNTIFS(donnée!AK:AK,"&gt;=-0,50",donnée!AK:AK,"&lt;=-0,26",donnée!CS:CS,"oui")</f>
        <v>0</v>
      </c>
      <c r="AR9" t="s">
        <v>65</v>
      </c>
      <c r="AS9">
        <f>COUNTIFS(donnée!AK:AK,"&gt;=-0,50",donnée!AK:AK,"&lt;=-0,26",donnée!CT:CT,"oui")</f>
        <v>0</v>
      </c>
      <c r="AT9">
        <f>COUNTIFS(donnée!AK:AK,"&gt;=-0,50",donnée!AK:AK,"&lt;=-0,26",donnée!CU:CU,"oui")</f>
        <v>0</v>
      </c>
      <c r="AU9">
        <f>COUNTIFS(donnée!AK:AK,"&gt;=-0,50",donnée!AK:AK,"&lt;=-0,26",donnée!CV:CV,"oui")</f>
        <v>0</v>
      </c>
      <c r="AV9">
        <f>COUNTIFS(donnée!AK:AK,"&gt;=-0,50",donnée!AK:AK,"&lt;=-0,26",donnée!CW:CW,"oui")</f>
        <v>0</v>
      </c>
      <c r="AW9">
        <f>COUNTIFS(donnée!AK:AK,"&gt;=-0,50",donnée!AK:AK,"&lt;=-0,26",donnée!CX:CX,"oui")</f>
        <v>0</v>
      </c>
      <c r="AX9">
        <f>COUNTIFS(donnée!AK:AK,"&gt;=-0,50",donnée!AK:AK,"&lt;=-0,26",donnée!CY:CY,"oui")</f>
        <v>0</v>
      </c>
      <c r="AY9">
        <f>COUNTIFS(donnée!AK:AK,"&gt;=-0,50",donnée!AK:AK,"&lt;=-0,26",donnée!CZ:CZ,"oui")</f>
        <v>0</v>
      </c>
    </row>
    <row r="10" spans="2:52" x14ac:dyDescent="0.2">
      <c r="B10" t="s">
        <v>66</v>
      </c>
      <c r="C10">
        <f>COUNTIFS(donnée!AK:AK,"&gt;=-0,75",donnée!AK:AK,"&lt;=-0,51",donnée!BO:BO,"oui")</f>
        <v>0</v>
      </c>
      <c r="D10">
        <f>COUNTIFS(donnée!AK:AK,"&gt;=-0,75",donnée!AK:AK,"&lt;=-0,51",donnée!BP:BP,"oui")</f>
        <v>0</v>
      </c>
      <c r="E10">
        <f>COUNTIFS(donnée!AK:AK,"&gt;=-0,75",donnée!AK:AK,"&lt;=-0,51",donnée!BQ:BQ,"oui")</f>
        <v>0</v>
      </c>
      <c r="F10">
        <f>COUNTIFS(donnée!AK:AK,"&gt;=-0,75",donnée!AK:AK,"&lt;=-0,51",donnée!BR:BR,"oui")</f>
        <v>0</v>
      </c>
      <c r="G10">
        <f>COUNTIFS(donnée!AK:AK,"&gt;=-0,75",donnée!AK:AK,"&lt;=-0,51",donnée!BS:BS,"oui")</f>
        <v>0</v>
      </c>
      <c r="H10">
        <f>COUNTIFS(donnée!AK:AK,"&gt;=-0,75",donnée!AK:AK,"&lt;=-0,51",donnée!BT:BT,"oui")</f>
        <v>0</v>
      </c>
      <c r="I10" t="s">
        <v>66</v>
      </c>
      <c r="J10">
        <f>COUNTIFS(donnée!AK:AK,"&gt;=-0,75",donnée!AK:AK,"&lt;=-0,51",donnée!BU:BU,"oui")</f>
        <v>0</v>
      </c>
      <c r="K10">
        <f>COUNTIFS(donnée!AK:AK,"&gt;=-0,75",donnée!AK:AK,"&lt;=-0,51",donnée!BV:BV,"oui")</f>
        <v>0</v>
      </c>
      <c r="L10">
        <f>COUNTIFS(donnée!AK:AK,"&gt;=-0,75",donnée!AK:AK,"&lt;=-0,51",donnée!BW:BW,"oui")</f>
        <v>0</v>
      </c>
      <c r="M10">
        <f>COUNTIFS(donnée!AK:AK,"&gt;=-0,75",donnée!AK:AK,"&lt;=-0,51",donnée!BX:BX,"oui")</f>
        <v>0</v>
      </c>
      <c r="N10">
        <f>COUNTIFS(donnée!AK:AK,"&gt;=-0,75",donnée!AK:AK,"&lt;=-0,51",donnée!BY:BY,"oui")</f>
        <v>0</v>
      </c>
      <c r="O10">
        <f>COUNTIFS(donnée!AP:AP,"&gt;=-0,75",donnée!AP:AP,"&lt;=-0,51",donnée!BZ:BZ,"oui")</f>
        <v>0</v>
      </c>
      <c r="P10" t="s">
        <v>66</v>
      </c>
      <c r="Q10">
        <f>COUNTIFS(donnée!AK:AK,"&gt;=-0,75",donnée!AK:AK,"&lt;=-0,51",donnée!CA:CA,"oui")</f>
        <v>0</v>
      </c>
      <c r="R10">
        <f>COUNTIFS(donnée!AK:AK,"&gt;=-0,75",donnée!AK:AK,"&lt;=-0,51",donnée!CB:CB,"oui")</f>
        <v>0</v>
      </c>
      <c r="S10">
        <f>COUNTIFS(donnée!AK:AK,"&gt;=-0,75",donnée!AK:AK,"&lt;=-0,51",donnée!CC:CC,"oui")</f>
        <v>0</v>
      </c>
      <c r="T10">
        <f>COUNTIFS(donnée!AK:AK,"&gt;=-0,75",donnée!AK:AK,"&lt;=-0,51",donnée!CD:CD,"oui")</f>
        <v>0</v>
      </c>
      <c r="U10">
        <f>COUNTIFS(donnée!AK:AK,"&gt;=-0,75",donnée!AK:AK,"&lt;=-0,51",donnée!CE:CE,"oui")</f>
        <v>0</v>
      </c>
      <c r="V10">
        <f>COUNTIFS(donnée!AK:AK,"&gt;=-0,75",donnée!AK:AK,"&lt;=-0,51",donnée!CF:CF,"oui")</f>
        <v>0</v>
      </c>
      <c r="W10" t="s">
        <v>66</v>
      </c>
      <c r="X10">
        <f>COUNTIFS(donnée!AK:AK,"&gt;=-0,75",donnée!AK:AK,"&lt;=-0,51",donnée!CG:CG,"oui")</f>
        <v>0</v>
      </c>
      <c r="Y10">
        <f>COUNTIFS(donnée!AK:AK,"&gt;=-0,75",donnée!AK:AK,"&lt;=-0,51",donnée!CH:CH,"oui")</f>
        <v>0</v>
      </c>
      <c r="Z10">
        <f>COUNTIFS(donnée!AK:AK,"&gt;=-0,75",donnée!AK:AK,"&lt;=-0,51",donnée!CI:CI,"oui")</f>
        <v>0</v>
      </c>
      <c r="AA10">
        <f>COUNTIFS(donnée!AK:AK,"&gt;=-0,75",donnée!AK:AK,"&lt;=-0,51",donnée!CJ:CJ,"oui")</f>
        <v>0</v>
      </c>
      <c r="AB10">
        <f>COUNTIFS(donnée!AK:AK,"&gt;=-0,75",donnée!AK:AK,"&lt;=-0,51",donnée!CK:CK,"oui")</f>
        <v>0</v>
      </c>
      <c r="AD10" t="s">
        <v>66</v>
      </c>
      <c r="AE10">
        <f>COUNTIFS(donnée!AK:AK,"&gt;=-0,75",donnée!AK:AK,"&lt;=-0,51",donnée!CL:CL,"oui")</f>
        <v>0</v>
      </c>
      <c r="AF10">
        <f>COUNTIFS(donnée!AK:AK,"&gt;=-0,75",donnée!AK:AK,"&lt;=-0,51",donnée!CM:CM,"oui")</f>
        <v>0</v>
      </c>
      <c r="AG10">
        <f>COUNTIFS(donnée!AK:AK,"&gt;=-0,75",donnée!AK:AK,"&lt;=-0,51",donnée!CN:CN,"oui")</f>
        <v>0</v>
      </c>
      <c r="AH10">
        <f>COUNTIFS(donnée!AK:AK,"&gt;=-0,75",donnée!AK:AK,"&lt;=-0,51",donnée!CO:CO,"oui")</f>
        <v>0</v>
      </c>
      <c r="AK10" t="s">
        <v>66</v>
      </c>
      <c r="AL10">
        <f>COUNTIFS(donnée!AK:AK,"&gt;=-0,75",donnée!AK:AK,"&lt;=-0,51",donnée!CP:CP,"oui")</f>
        <v>0</v>
      </c>
      <c r="AM10">
        <f>COUNTIFS(donnée!AK:AK,"&gt;=-0,75",donnée!AK:AK,"&lt;=-0,51",donnée!CQ:CQ,"oui")</f>
        <v>0</v>
      </c>
      <c r="AN10">
        <f>COUNTIFS(donnée!AK:AK,"&gt;=-0,75",donnée!AK:AK,"&lt;=-0,51",donnée!CR:CR,"oui")</f>
        <v>0</v>
      </c>
      <c r="AO10">
        <f>COUNTIFS(donnée!AK:AK,"&gt;=-0,75",donnée!AK:AK,"&lt;=-0,51",donnée!CS:CS,"oui")</f>
        <v>0</v>
      </c>
      <c r="AR10" t="s">
        <v>66</v>
      </c>
      <c r="AS10">
        <f>COUNTIFS(donnée!AK:AK,"&gt;=-0,75",donnée!AK:AK,"&lt;=-0,51",donnée!CT:CT,"oui")</f>
        <v>0</v>
      </c>
      <c r="AT10">
        <f>COUNTIFS(donnée!AK:AK,"&gt;=-0,75",donnée!AK:AK,"&lt;=-0,51",donnée!CU:CU,"oui")</f>
        <v>0</v>
      </c>
      <c r="AU10">
        <f>COUNTIFS(donnée!AK:AK,"&gt;=-0,75",donnée!AK:AK,"&lt;=-0,51",donnée!CV:CV,"oui")</f>
        <v>0</v>
      </c>
      <c r="AV10">
        <f>COUNTIFS(donnée!AK:AK,"&gt;=-0,75",donnée!AK:AK,"&lt;=-0,51",donnée!CW:CW,"oui")</f>
        <v>0</v>
      </c>
      <c r="AW10">
        <f>COUNTIFS(donnée!AK:AK,"&gt;=-0,75",donnée!AK:AK,"&lt;=-0,51",donnée!CX:CX,"oui")</f>
        <v>0</v>
      </c>
      <c r="AX10">
        <f>COUNTIFS(donnée!AK:AK,"&gt;=-0,75",donnée!AK:AK,"&lt;=-0,51",donnée!CY:CY,"oui")</f>
        <v>0</v>
      </c>
      <c r="AY10">
        <f>COUNTIFS(donnée!AK:AK,"&gt;=-0,75",donnée!AK:AK,"&lt;=-0,51",donnée!CZ:CZ,"oui")</f>
        <v>0</v>
      </c>
    </row>
    <row r="11" spans="2:52" x14ac:dyDescent="0.2">
      <c r="B11" t="s">
        <v>67</v>
      </c>
      <c r="C11">
        <f>COUNTIFS(donnée!AK:AK,"&gt;=-1,0",donnée!AK:AK,"&lt;=-0,76",donnée!BO:BO,"oui")</f>
        <v>0</v>
      </c>
      <c r="D11">
        <f>COUNTIFS(donnée!AK:AK,"&gt;=-1,0",donnée!AK:AK,"&lt;=-0,76",donnée!BP:BP,"oui")</f>
        <v>0</v>
      </c>
      <c r="E11">
        <f>COUNTIFS(donnée!AK:AK,"&gt;=-1,0",donnée!AK:AK,"&lt;=-0,76",donnée!BQ:BQ,"oui")</f>
        <v>0</v>
      </c>
      <c r="F11">
        <f>COUNTIFS(donnée!AK:AK,"&gt;=-1,0",donnée!AK:AK,"&lt;=-0,76",donnée!BR:BR,"oui")</f>
        <v>0</v>
      </c>
      <c r="G11">
        <f>COUNTIFS(donnée!AK:AK,"&gt;=-1,0",donnée!AK:AK,"&lt;=-0,76",donnée!BS:BS,"oui")</f>
        <v>0</v>
      </c>
      <c r="H11">
        <f>COUNTIFS(donnée!AK:AK,"&gt;=-1,0",donnée!AK:AK,"&lt;=-0,76",donnée!BT:BT,"oui")</f>
        <v>0</v>
      </c>
      <c r="I11" t="s">
        <v>67</v>
      </c>
      <c r="J11">
        <f>COUNTIFS(donnée!AK:AK,"&gt;=-1,0",donnée!AK:AK,"&lt;=-0,76",donnée!BU:BU,"oui")</f>
        <v>0</v>
      </c>
      <c r="K11">
        <f>COUNTIFS(donnée!AK:AK,"&gt;=-1,0",donnée!AK:AK,"&lt;=-0,76",donnée!BV:BV,"oui")</f>
        <v>0</v>
      </c>
      <c r="L11">
        <f>COUNTIFS(donnée!AK:AK,"&gt;=-1,0",donnée!AK:AK,"&lt;=-0,76",donnée!BW:BW,"oui")</f>
        <v>0</v>
      </c>
      <c r="M11">
        <f>COUNTIFS(donnée!AK:AK,"&gt;=-1,0",donnée!AK:AK,"&lt;=-0,76",donnée!BX:BX,"oui")</f>
        <v>0</v>
      </c>
      <c r="N11">
        <f>COUNTIFS(donnée!AK:AK,"&gt;=-1,0",donnée!AK:AK,"&lt;=-0,76",donnée!BY:BY,"oui")</f>
        <v>0</v>
      </c>
      <c r="O11">
        <f>COUNTIFS(donnée!AK:AK,"&gt;=-1,0",donnée!AK:AK,"&lt;=-0,76",donnée!BZ:BZ,"oui")</f>
        <v>0</v>
      </c>
      <c r="P11" t="s">
        <v>67</v>
      </c>
      <c r="Q11">
        <f>COUNTIFS(donnée!AK:AK,"&gt;=-1,0",donnée!AK:AK,"&lt;=-0,76",donnée!CA:CA,"oui")</f>
        <v>0</v>
      </c>
      <c r="R11">
        <f>COUNTIFS(donnée!AK:AK,"&gt;=-1,0",donnée!AK:AK,"&lt;=-0,76",donnée!CB:CB,"oui")</f>
        <v>0</v>
      </c>
      <c r="S11">
        <f>COUNTIFS(donnée!AK:AK,"&gt;=-1,0",donnée!AK:AK,"&lt;=-0,76",donnée!CC:CC,"oui")</f>
        <v>0</v>
      </c>
      <c r="T11">
        <f>COUNTIFS(donnée!AK:AK,"&gt;=-1,0",donnée!AK:AK,"&lt;=-0,76",donnée!CD:CD,"oui")</f>
        <v>0</v>
      </c>
      <c r="U11">
        <f>COUNTIFS(donnée!AK:AK,"&gt;=-1,0",donnée!AK:AK,"&lt;=-0,76",donnée!CE:CE,"oui")</f>
        <v>0</v>
      </c>
      <c r="V11">
        <f>COUNTIFS(donnée!AK:AK,"&gt;=-1,0",donnée!AK:AK,"&lt;=-0,76",donnée!CF:CF,"oui")</f>
        <v>0</v>
      </c>
      <c r="W11" t="s">
        <v>67</v>
      </c>
      <c r="X11">
        <f>COUNTIFS(donnée!AK:AK,"&gt;=-1,0",donnée!AK:AK,"&lt;=-0,76",donnée!CG:CG,"oui")</f>
        <v>0</v>
      </c>
      <c r="Y11">
        <f>COUNTIFS(donnée!AK:AK,"&gt;=-1,0",donnée!AK:AK,"&lt;=-0,76",donnée!CH:CH,"oui")</f>
        <v>0</v>
      </c>
      <c r="Z11">
        <f>COUNTIFS(donnée!AK:AK,"&gt;=-1,0",donnée!AK:AK,"&lt;=-0,76",donnée!CI:CI,"oui")</f>
        <v>0</v>
      </c>
      <c r="AA11">
        <f>COUNTIFS(donnée!AK:AK,"&gt;=-1,0",donnée!AK:AK,"&lt;=-0,76",donnée!CJ:CJ,"oui")</f>
        <v>0</v>
      </c>
      <c r="AB11">
        <f>COUNTIFS(donnée!AK:AK,"&gt;=-1,0",donnée!AK:AK,"&lt;=-0,76",donnée!CK:CK,"oui")</f>
        <v>0</v>
      </c>
      <c r="AD11" t="s">
        <v>67</v>
      </c>
      <c r="AE11">
        <f>COUNTIFS(donnée!AK:AK,"&gt;=-1,0",donnée!AK:AK,"&lt;=-0,76",donnée!CL:CL,"oui")</f>
        <v>0</v>
      </c>
      <c r="AF11">
        <f>COUNTIFS(donnée!AK:AK,"&gt;=-1,0",donnée!AK:AK,"&lt;=-0,76",donnée!CM:CM,"oui")</f>
        <v>0</v>
      </c>
      <c r="AG11">
        <f>COUNTIFS(donnée!AK:AK,"&gt;=-1,0",donnée!AK:AK,"&lt;=-0,76",donnée!CN:CN,"oui")</f>
        <v>0</v>
      </c>
      <c r="AH11">
        <f>COUNTIFS(donnée!AK:AK,"&gt;=-1,0",donnée!AK:AK,"&lt;=-0,76",donnée!CO:CO,"oui")</f>
        <v>0</v>
      </c>
      <c r="AK11" t="s">
        <v>67</v>
      </c>
      <c r="AL11">
        <f>COUNTIFS(donnée!AK:AK,"&gt;=-1,0",donnée!AK:AK,"&lt;=-0,76",donnée!CP:CP,"oui")</f>
        <v>0</v>
      </c>
      <c r="AM11">
        <f>COUNTIFS(donnée!AK:AK,"&gt;=-1,0",donnée!AK:AK,"&lt;=-0,76",donnée!CQ:CQ,"oui")</f>
        <v>0</v>
      </c>
      <c r="AN11">
        <f>COUNTIFS(donnée!AK:AK,"&gt;=-1,0",donnée!AK:AK,"&lt;=-0,76",donnée!CR:CR,"oui")</f>
        <v>0</v>
      </c>
      <c r="AO11">
        <f>COUNTIFS(donnée!AK:AK,"&gt;=-1,0",donnée!AK:AK,"&lt;=-0,76",donnée!CS:CS,"oui")</f>
        <v>0</v>
      </c>
      <c r="AR11" t="s">
        <v>67</v>
      </c>
      <c r="AS11">
        <f>COUNTIFS(donnée!AK:AK,"&gt;=-1,0",donnée!AK:AK,"&lt;=-0,76",donnée!CT:CT,"oui")</f>
        <v>0</v>
      </c>
      <c r="AT11">
        <f>COUNTIFS(donnée!AK:AK,"&gt;=-1,0",donnée!AK:AK,"&lt;=-0,76",donnée!CU:CU,"oui")</f>
        <v>0</v>
      </c>
      <c r="AU11">
        <f>COUNTIFS(donnée!AK:AK,"&gt;=-1,0",donnée!AK:AK,"&lt;=-0,76",donnée!CV:CV,"oui")</f>
        <v>0</v>
      </c>
      <c r="AV11">
        <f>COUNTIFS(donnée!AK:AK,"&gt;=-1,0",donnée!AK:AK,"&lt;=-0,76",donnée!CW:CW,"oui")</f>
        <v>0</v>
      </c>
      <c r="AW11">
        <f>COUNTIFS(donnée!AK:AK,"&gt;=-1,0",donnée!AK:AK,"&lt;=-0,76",donnée!CX:CX,"oui")</f>
        <v>0</v>
      </c>
      <c r="AX11">
        <f>COUNTIFS(donnée!AK:AK,"&gt;=-1,0",donnée!AK:AK,"&lt;=-0,76",donnée!CY:CY,"oui")</f>
        <v>0</v>
      </c>
      <c r="AY11">
        <f>COUNTIFS(donnée!AK:AK,"&gt;=-1,0",donnée!AK:AK,"&lt;=-0,76",donnée!CZ:CZ,"oui")</f>
        <v>0</v>
      </c>
    </row>
    <row r="12" spans="2:52" x14ac:dyDescent="0.2">
      <c r="B12" t="s">
        <v>68</v>
      </c>
      <c r="C12">
        <f>COUNTIFS(donnée!AK:AK,"&lt;=-1,0",donnée!BO:BO,"oui")</f>
        <v>0</v>
      </c>
      <c r="D12">
        <f>COUNTIFS(donnée!AK:AK,"&lt;=-1,0",donnée!BP:BP,"oui")</f>
        <v>0</v>
      </c>
      <c r="E12">
        <f>COUNTIFS(donnée!AK:AK,"&lt;=-1,0",donnée!BQ:BQ,"oui")</f>
        <v>0</v>
      </c>
      <c r="F12">
        <f>COUNTIFS(donnée!AK:AK,"&lt;=-1,0",donnée!BR:BR,"oui")</f>
        <v>0</v>
      </c>
      <c r="G12">
        <f>COUNTIFS(donnée!AK:AK,"&lt;=-1,0",donnée!BS:BS,"oui")</f>
        <v>0</v>
      </c>
      <c r="H12">
        <f>COUNTIFS(donnée!AK:AK,"&lt;=-1,0",donnée!BT:BT,"oui")</f>
        <v>0</v>
      </c>
      <c r="I12" t="s">
        <v>68</v>
      </c>
      <c r="J12">
        <f>COUNTIFS(donnée!AK:AK,"&lt;=-1,0",donnée!BU:BU,"oui")</f>
        <v>0</v>
      </c>
      <c r="K12">
        <f>COUNTIFS(donnée!AK:AK,"&lt;=-1,0",donnée!BV:BV,"oui")</f>
        <v>0</v>
      </c>
      <c r="L12">
        <f>COUNTIFS(donnée!AK:AK,"&lt;=-1,0",donnée!BW:BW,"oui")</f>
        <v>0</v>
      </c>
      <c r="M12">
        <f>COUNTIFS(donnée!AK:AK,"&lt;=-1,0",donnée!BX:BX,"oui")</f>
        <v>0</v>
      </c>
      <c r="N12">
        <f>COUNTIFS(donnée!AK:AK,"&lt;=-1,0",donnée!BY:BY,"oui")</f>
        <v>0</v>
      </c>
      <c r="O12">
        <f>COUNTIFS(donnée!AK:AK,"&lt;=-1,0",donnée!BZ:BZ,"oui")</f>
        <v>0</v>
      </c>
      <c r="P12" t="s">
        <v>68</v>
      </c>
      <c r="Q12">
        <f>COUNTIFS(donnée!AK:AK,"&lt;=-1,0",donnée!CA:CA,"oui")</f>
        <v>0</v>
      </c>
      <c r="R12">
        <f>COUNTIFS(donnée!AK:AK,"&lt;=-1,0",donnée!CB:CB,"oui")</f>
        <v>0</v>
      </c>
      <c r="S12">
        <f>COUNTIFS(donnée!AK:AK,"&lt;=-1,0",donnée!CC:CC,"oui")</f>
        <v>0</v>
      </c>
      <c r="T12">
        <f>COUNTIFS(donnée!AK:AK,"&lt;=-1,0",donnée!CD:CD,"oui")</f>
        <v>0</v>
      </c>
      <c r="U12">
        <f>COUNTIFS(donnée!AK:AK,"&lt;=-1,0",donnée!CE:CE,"oui")</f>
        <v>0</v>
      </c>
      <c r="V12">
        <f>COUNTIFS(donnée!AK:AK,"&lt;=-1,0",donnée!CF:CF,"oui")</f>
        <v>0</v>
      </c>
      <c r="W12" t="s">
        <v>68</v>
      </c>
      <c r="X12">
        <f>COUNTIFS(donnée!AK:AK,"&lt;=-1,0",donnée!CG:CG,"oui")</f>
        <v>0</v>
      </c>
      <c r="Y12">
        <f>COUNTIFS(donnée!AK:AK,"&lt;=-1,0",donnée!CH:CH,"oui")</f>
        <v>0</v>
      </c>
      <c r="Z12">
        <f>COUNTIFS(donnée!AK:AK,"&lt;=-1,0",donnée!CI:CI,"oui")</f>
        <v>0</v>
      </c>
      <c r="AA12">
        <f>COUNTIFS(donnée!AK:AK,"&lt;=-1,0",donnée!CJ:CJ,"oui")</f>
        <v>0</v>
      </c>
      <c r="AB12">
        <f>COUNTIFS(donnée!AK:AK,"&lt;=-1,0",donnée!CK:CK,"oui")</f>
        <v>0</v>
      </c>
      <c r="AD12" t="s">
        <v>68</v>
      </c>
      <c r="AE12">
        <f>COUNTIFS(donnée!AK:AK,"&lt;=-1,0",donnée!CL:CL,"oui")</f>
        <v>0</v>
      </c>
      <c r="AF12">
        <f>COUNTIFS(donnée!AK:AK,"&lt;=-1,0",donnée!CM:CM,"oui")</f>
        <v>0</v>
      </c>
      <c r="AG12">
        <f>COUNTIFS(donnée!AK:AK,"&lt;=-1,0",donnée!CN:CN,"oui")</f>
        <v>0</v>
      </c>
      <c r="AH12">
        <f>COUNTIFS(donnée!AK:AK,"&lt;=-1,0",donnée!CO:CO,"oui")</f>
        <v>0</v>
      </c>
      <c r="AK12" t="s">
        <v>68</v>
      </c>
      <c r="AL12">
        <f>COUNTIFS(donnée!AK:AK,"&lt;=-1,0",donnée!CP:CP,"oui")</f>
        <v>0</v>
      </c>
      <c r="AM12">
        <f>COUNTIFS(donnée!AK:AK,"&lt;=-1,0",donnée!CQ:CQ,"oui")</f>
        <v>0</v>
      </c>
      <c r="AN12">
        <f>COUNTIFS(donnée!AK:AK,"&lt;=-1,0",donnée!CR:CR,"oui")</f>
        <v>0</v>
      </c>
      <c r="AO12">
        <f>COUNTIFS(donnée!AK:AK,"&lt;=-1,0",donnée!CS:CS,"oui")</f>
        <v>0</v>
      </c>
      <c r="AR12" t="s">
        <v>68</v>
      </c>
      <c r="AS12">
        <f>COUNTIFS(donnée!AK:AK,"&lt;=-1,0",donnée!CT:CT,"oui")</f>
        <v>0</v>
      </c>
      <c r="AT12">
        <f>COUNTIFS(donnée!AK:AK,"&lt;=-1,0",donnée!CU:CU,"oui")</f>
        <v>0</v>
      </c>
      <c r="AU12">
        <f>COUNTIFS(donnée!AK:AK,"&lt;=-1,0",donnée!CV:CV,"oui")</f>
        <v>0</v>
      </c>
      <c r="AV12">
        <f>COUNTIFS(donnée!AK:AK,"&lt;=-1,0",donnée!CW:CW,"oui")</f>
        <v>0</v>
      </c>
      <c r="AW12">
        <f>COUNTIFS(donnée!AK:AK,"&lt;=-1,0",donnée!CX:CX,"oui")</f>
        <v>0</v>
      </c>
      <c r="AX12">
        <f>COUNTIFS(donnée!AK:AK,"&lt;=-1,0",donnée!CY:CY,"oui")</f>
        <v>0</v>
      </c>
      <c r="AY12">
        <f>COUNTIFS(donnée!AK:AK,"&lt;=-1,0",donnée!CZ:CZ,"oui")</f>
        <v>0</v>
      </c>
    </row>
    <row r="29" spans="1:52" ht="15.75" customHeight="1" thickBot="1" x14ac:dyDescent="0.25"/>
    <row r="30" spans="1:52" ht="49" thickBot="1" x14ac:dyDescent="0.25">
      <c r="C30" s="164" t="s">
        <v>40</v>
      </c>
      <c r="D30" s="165" t="s">
        <v>46</v>
      </c>
      <c r="E30" s="165" t="s">
        <v>47</v>
      </c>
      <c r="F30" s="165" t="s">
        <v>48</v>
      </c>
      <c r="G30" s="165" t="s">
        <v>49</v>
      </c>
      <c r="H30" s="165" t="s">
        <v>50</v>
      </c>
      <c r="J30" s="205" t="s">
        <v>116</v>
      </c>
      <c r="K30" s="205" t="s">
        <v>120</v>
      </c>
      <c r="L30" s="205" t="s">
        <v>121</v>
      </c>
      <c r="M30" s="205" t="s">
        <v>117</v>
      </c>
      <c r="N30" s="205" t="s">
        <v>118</v>
      </c>
      <c r="O30" s="205" t="s">
        <v>119</v>
      </c>
      <c r="Q30" s="206" t="s">
        <v>105</v>
      </c>
      <c r="R30" s="206" t="s">
        <v>112</v>
      </c>
      <c r="S30" s="206" t="s">
        <v>123</v>
      </c>
      <c r="T30" s="206" t="s">
        <v>114</v>
      </c>
      <c r="U30" s="206" t="s">
        <v>115</v>
      </c>
      <c r="V30" s="206" t="s">
        <v>106</v>
      </c>
      <c r="X30" s="210" t="s">
        <v>107</v>
      </c>
      <c r="Y30" s="207" t="s">
        <v>108</v>
      </c>
      <c r="Z30" s="207" t="s">
        <v>109</v>
      </c>
      <c r="AA30" s="207" t="s">
        <v>110</v>
      </c>
      <c r="AB30" s="209" t="s">
        <v>122</v>
      </c>
      <c r="AC30" s="211"/>
      <c r="AE30" s="212" t="s">
        <v>124</v>
      </c>
      <c r="AF30" s="208" t="s">
        <v>125</v>
      </c>
      <c r="AG30" s="208" t="s">
        <v>126</v>
      </c>
      <c r="AH30" s="213" t="s">
        <v>127</v>
      </c>
      <c r="AI30" s="211"/>
      <c r="AJ30" s="211"/>
      <c r="AL30" s="89" t="s">
        <v>128</v>
      </c>
      <c r="AM30" s="89" t="s">
        <v>129</v>
      </c>
      <c r="AN30" s="89" t="s">
        <v>131</v>
      </c>
      <c r="AO30" s="89" t="s">
        <v>130</v>
      </c>
      <c r="AP30" s="211"/>
      <c r="AQ30" s="211"/>
      <c r="AS30" s="207" t="s">
        <v>52</v>
      </c>
      <c r="AT30" s="207" t="s">
        <v>57</v>
      </c>
      <c r="AU30" s="207" t="s">
        <v>51</v>
      </c>
      <c r="AV30" s="207" t="s">
        <v>53</v>
      </c>
      <c r="AW30" s="207" t="s">
        <v>54</v>
      </c>
      <c r="AX30" s="207" t="s">
        <v>55</v>
      </c>
      <c r="AY30" s="209" t="s">
        <v>104</v>
      </c>
      <c r="AZ30" s="211"/>
    </row>
    <row r="31" spans="1:52" ht="19" x14ac:dyDescent="0.25">
      <c r="B31" s="2" t="s">
        <v>32</v>
      </c>
      <c r="I31" s="2" t="s">
        <v>32</v>
      </c>
      <c r="P31" s="2" t="s">
        <v>32</v>
      </c>
      <c r="W31" s="2" t="s">
        <v>32</v>
      </c>
      <c r="AD31" s="2" t="s">
        <v>32</v>
      </c>
      <c r="AK31" s="2" t="s">
        <v>32</v>
      </c>
      <c r="AR31" s="2" t="s">
        <v>32</v>
      </c>
    </row>
    <row r="32" spans="1:52" x14ac:dyDescent="0.2">
      <c r="A32">
        <f>COUNTIFS(donnée!AN:AN,"&gt;=1,0")</f>
        <v>0</v>
      </c>
      <c r="B32" t="s">
        <v>60</v>
      </c>
      <c r="C32">
        <f>COUNTIFS(donnée!AN:AN,"&gt;=1,0",donnée!BO:BO,"oui")</f>
        <v>0</v>
      </c>
      <c r="D32">
        <f>COUNTIFS(donnée!AN:AN,"&gt;=1,0",donnée!BP:BP,"oui")</f>
        <v>0</v>
      </c>
      <c r="E32">
        <f>COUNTIFS(donnée!AN:AN,"&gt;=1,0",donnée!BQ:BQ,"oui")</f>
        <v>0</v>
      </c>
      <c r="F32">
        <f>COUNTIFS(donnée!AN:AN,"&gt;=1,0",donnée!BR:BR,"oui")</f>
        <v>0</v>
      </c>
      <c r="G32">
        <f>COUNTIFS(donnée!AN:AN,"&gt;=1,0",donnée!BS:BS,"oui")</f>
        <v>0</v>
      </c>
      <c r="H32">
        <f>COUNTIFS(donnée!AN:AN,"&gt;=1,0",donnée!BT:BT,"oui")</f>
        <v>0</v>
      </c>
      <c r="I32" t="s">
        <v>60</v>
      </c>
      <c r="J32">
        <f>COUNTIFS(donnée!AN:AN,"&gt;=1,0",donnée!BU:BU,"oui")</f>
        <v>0</v>
      </c>
      <c r="K32">
        <f>COUNTIFS(donnée!AN:AN,"&gt;=1,0",donnée!BV:BV,"oui")</f>
        <v>0</v>
      </c>
      <c r="L32">
        <f>COUNTIFS(donnée!AN:AN,"&gt;=1,0",donnée!BW:BW,"oui")</f>
        <v>0</v>
      </c>
      <c r="M32">
        <f>COUNTIFS(donnée!AN:AN,"&gt;=1,0",donnée!BX:BX,"oui")</f>
        <v>0</v>
      </c>
      <c r="N32">
        <f>COUNTIFS(donnée!AN:AN,"&gt;=1,0",donnée!BY:BY,"oui")</f>
        <v>0</v>
      </c>
      <c r="O32">
        <f>COUNTIFS(donnée!AN:AN,"&gt;=1,0",donnée!BZ:BZ,"oui")</f>
        <v>0</v>
      </c>
      <c r="P32" t="s">
        <v>60</v>
      </c>
      <c r="Q32">
        <f>COUNTIFS(donnée!AN:AN,"&gt;=1,0",donnée!CA:CA,"oui")</f>
        <v>0</v>
      </c>
      <c r="R32">
        <f>COUNTIFS(donnée!AN:AN,"&gt;=1,0",donnée!CB:CB,"oui")</f>
        <v>0</v>
      </c>
      <c r="S32">
        <f>COUNTIFS(donnée!AN:AN,"&gt;=1,0",donnée!CC:CC,"oui")</f>
        <v>0</v>
      </c>
      <c r="T32">
        <f>COUNTIFS(donnée!AN:AN,"&gt;=1,0",donnée!CD:CD,"oui")</f>
        <v>0</v>
      </c>
      <c r="U32">
        <f>COUNTIFS(donnée!AN:AN,"&gt;=1,0",donnée!CE:CE,"oui")</f>
        <v>0</v>
      </c>
      <c r="V32">
        <f>COUNTIFS(donnée!AN:AN,"&gt;=1,0",donnée!CF:CF,"oui")</f>
        <v>0</v>
      </c>
      <c r="W32" t="s">
        <v>60</v>
      </c>
      <c r="X32">
        <f>COUNTIFS(donnée!AN:AN,"&gt;=1,0",donnée!CG:CG,"oui")</f>
        <v>0</v>
      </c>
      <c r="Y32">
        <f>COUNTIFS(donnée!AN:AN,"&gt;=1,0",donnée!CH:CH,"oui")</f>
        <v>0</v>
      </c>
      <c r="Z32">
        <f>COUNTIFS(donnée!AN:AN,"&gt;=1,0",donnée!CI:CI,"oui")</f>
        <v>0</v>
      </c>
      <c r="AA32">
        <f>COUNTIFS(donnée!AN:AN,"&gt;=1,0",donnée!CJ:CJ,"oui")</f>
        <v>0</v>
      </c>
      <c r="AB32">
        <f>COUNTIFS(donnée!AN:AN,"&gt;=1,0",donnée!CK:CK,"oui")</f>
        <v>0</v>
      </c>
      <c r="AD32" t="s">
        <v>60</v>
      </c>
      <c r="AE32">
        <f>COUNTIFS(donnée!AN:AN,"&gt;=1,0",donnée!CL:CL,"oui")</f>
        <v>0</v>
      </c>
      <c r="AF32">
        <f>COUNTIFS(donnée!AN:AN,"&gt;=1,0",donnée!CM:CM,"oui")</f>
        <v>0</v>
      </c>
      <c r="AG32">
        <f>COUNTIFS(donnée!AN:AN,"&gt;=1,0",donnée!CN:CN,"oui")</f>
        <v>0</v>
      </c>
      <c r="AH32">
        <f>COUNTIFS(donnée!AN:AN,"&gt;=1,0",donnée!CO:CO,"oui")</f>
        <v>0</v>
      </c>
      <c r="AK32" t="s">
        <v>60</v>
      </c>
      <c r="AL32">
        <f>COUNTIFS(donnée!AN:AN,"&gt;=1,0",donnée!CP:CP,"oui")</f>
        <v>0</v>
      </c>
      <c r="AM32">
        <f>COUNTIFS(donnée!AN:AN,"&gt;=1,0",donnée!CQ:CQ,"oui")</f>
        <v>0</v>
      </c>
      <c r="AN32">
        <f>COUNTIFS(donnée!AN:AN,"&gt;=1,0",donnée!CR:CR,"oui")</f>
        <v>0</v>
      </c>
      <c r="AO32">
        <f>COUNTIFS(donnée!AN:AN,"&gt;=1,0",donnée!CS:CS,"oui")</f>
        <v>0</v>
      </c>
      <c r="AR32" t="s">
        <v>60</v>
      </c>
      <c r="AS32">
        <f>COUNTIFS(donnée!$AN:$AN,"&gt;=1,0",donnée!CT:CT,"oui")</f>
        <v>0</v>
      </c>
      <c r="AT32">
        <f>COUNTIFS(donnée!$AN:$AN,"&gt;=1,0",donnée!CU:CU,"oui")</f>
        <v>0</v>
      </c>
      <c r="AU32">
        <f>COUNTIFS(donnée!$AN:$AN,"&gt;=1,0",donnée!CV:CV,"oui")</f>
        <v>0</v>
      </c>
      <c r="AV32">
        <f>COUNTIFS(donnée!$AN:$AN,"&gt;=1,0",donnée!CW:CW,"oui")</f>
        <v>0</v>
      </c>
      <c r="AW32">
        <f>COUNTIFS(donnée!$AN:$AN,"&gt;=1,0",donnée!CX:CX,"oui")</f>
        <v>0</v>
      </c>
      <c r="AX32">
        <f>COUNTIFS(donnée!$AN:$AN,"&gt;=1,0",donnée!CY:CY,"oui")</f>
        <v>0</v>
      </c>
      <c r="AY32">
        <f>COUNTIFS(donnée!$AN:$AN,"&gt;=1,0",donnée!CZ:CZ,"oui")</f>
        <v>0</v>
      </c>
    </row>
    <row r="33" spans="1:51" x14ac:dyDescent="0.2">
      <c r="A33">
        <f>COUNTIFS(donnée!AN:AN,"&gt;=0,76",donnée!AN:AN,"&lt;=1,0")</f>
        <v>0</v>
      </c>
      <c r="B33" t="s">
        <v>61</v>
      </c>
      <c r="C33">
        <f>COUNTIFS(donnée!AN:AN,"&gt;=0,76",donnée!AN:AN,"&lt;=1,0",donnée!BO:BO,"oui")</f>
        <v>0</v>
      </c>
      <c r="D33">
        <f>COUNTIFS(donnée!AN:AN,"&gt;=0,76",donnée!AN:AN,"&lt;=1,0",donnée!BP:BP,"oui")</f>
        <v>0</v>
      </c>
      <c r="E33">
        <f>COUNTIFS(donnée!AN:AN,"&gt;=0,76",donnée!AN:AN,"&lt;=1,0",donnée!BQ:BQ,"oui")</f>
        <v>0</v>
      </c>
      <c r="F33">
        <f>COUNTIFS(donnée!AN:AN,"&gt;=0,76",donnée!AN:AN,"&lt;=1,0",donnée!BR:BR,"oui")</f>
        <v>0</v>
      </c>
      <c r="G33">
        <f>COUNTIFS(donnée!AN:AN,"&gt;=0,76",donnée!AN:AN,"&lt;=1,0",donnée!BS:BS,"oui")</f>
        <v>0</v>
      </c>
      <c r="H33">
        <f>COUNTIFS(donnée!AN:AN,"&gt;=0,76",donnée!AN:AN,"&lt;=1,0",donnée!BT:BT,"oui")</f>
        <v>0</v>
      </c>
      <c r="I33" t="s">
        <v>61</v>
      </c>
      <c r="J33">
        <f>COUNTIFS(donnée!AN:AN,"&gt;=0,76",donnée!AN:AN,"&lt;=1,0",donnée!BU:BU,"oui")</f>
        <v>0</v>
      </c>
      <c r="K33">
        <f>COUNTIFS(donnée!AN:AN,"&gt;=0,76",donnée!AN:AN,"&lt;=1,0",donnée!BV:BV,"oui")</f>
        <v>0</v>
      </c>
      <c r="L33">
        <f>COUNTIFS(donnée!AN:AN,"&gt;=0,76",donnée!AN:AN,"&lt;=1,0",donnée!BW:BW,"oui")</f>
        <v>0</v>
      </c>
      <c r="M33">
        <f>COUNTIFS(donnée!AN:AN,"&gt;=0,76",donnée!AN:AN,"&lt;=1,0",donnée!BX:BX,"oui")</f>
        <v>0</v>
      </c>
      <c r="N33">
        <f>COUNTIFS(donnée!AN:AN,"&gt;=0,76",donnée!AR:AR,"&lt;=1,0",donnée!BY:BY,"oui")</f>
        <v>0</v>
      </c>
      <c r="O33">
        <f>COUNTIFS(donnée!AN:AN,"&gt;=0,76",donnée!AN:AN,"&lt;=1,0",donnée!BZ:BZ,"oui")</f>
        <v>0</v>
      </c>
      <c r="P33" t="s">
        <v>61</v>
      </c>
      <c r="Q33">
        <f>COUNTIFS(donnée!AN:AN,"&gt;=0,76",donnée!AN:AN,"&lt;=1,0",donnée!CA:CA,"oui")</f>
        <v>0</v>
      </c>
      <c r="R33">
        <f>COUNTIFS(donnée!AN:AN,"&gt;=0,76",donnée!AN:AN,"&lt;=1,0",donnée!CB:CB,"oui")</f>
        <v>0</v>
      </c>
      <c r="S33">
        <f>COUNTIFS(donnée!AN:AN,"&gt;=0,76",donnée!AN:AN,"&lt;=1,0",donnée!CC:CC,"oui")</f>
        <v>0</v>
      </c>
      <c r="T33">
        <f>COUNTIFS(donnée!AN:AN,"&gt;=0,76",donnée!AN:AN,"&lt;=1,0",donnée!CD:CD,"oui")</f>
        <v>0</v>
      </c>
      <c r="U33">
        <f>COUNTIFS(donnée!AN:AN,"&gt;=0,76",donnée!AN:AN,"&lt;=1,0",donnée!CE:CE,"oui")</f>
        <v>0</v>
      </c>
      <c r="V33">
        <f>COUNTIFS(donnée!AN:AN,"&gt;=0,76",donnée!AN:AN,"&lt;=1,0",donnée!CF:CF,"oui")</f>
        <v>0</v>
      </c>
      <c r="W33" t="s">
        <v>61</v>
      </c>
      <c r="X33">
        <f>COUNTIFS(donnée!AN:AN,"&gt;=0,76",donnée!AN:AN,"&lt;=1,0",donnée!CG:CG,"oui")</f>
        <v>0</v>
      </c>
      <c r="Y33">
        <f>COUNTIFS(donnée!AN:AN,"&gt;=0,76",donnée!AN:AN,"&lt;=1,0",donnée!CH:CH,"oui")</f>
        <v>0</v>
      </c>
      <c r="Z33">
        <f>COUNTIFS(donnée!AN:AN,"&gt;=0,76",donnée!AN:AN,"&lt;=1,0",donnée!CI:CI,"oui")</f>
        <v>0</v>
      </c>
      <c r="AA33">
        <f>COUNTIFS(donnée!AN:AN,"&gt;=0,76",donnée!AN:AN,"&lt;=1,0",donnée!CJ:CJ,"oui")</f>
        <v>0</v>
      </c>
      <c r="AB33">
        <f>COUNTIFS(donnée!AN:AN,"&gt;=0,76",donnée!AN:AN,"&lt;=1,0",donnée!CK:CK,"oui")</f>
        <v>0</v>
      </c>
      <c r="AD33" t="s">
        <v>61</v>
      </c>
      <c r="AE33">
        <f>COUNTIFS(donnée!AN:AN,"&gt;=0,76",donnée!AN:AN,"&lt;=1,0",donnée!CL:CL,"oui")</f>
        <v>0</v>
      </c>
      <c r="AF33">
        <f>COUNTIFS(donnée!AN:AN,"&gt;=0,76",donnée!AN:AN,"&lt;=1,0",donnée!CM:CM,"oui")</f>
        <v>0</v>
      </c>
      <c r="AG33">
        <f>COUNTIFS(donnée!AN:AN,"&gt;=0,76",donnée!AN:AN,"&lt;=1,0",donnée!CN:CN,"oui")</f>
        <v>0</v>
      </c>
      <c r="AH33">
        <f>COUNTIFS(donnée!AN:AN,"&gt;=0,76",donnée!AN:AN,"&lt;=1,0",donnée!CO:CO,"oui")</f>
        <v>0</v>
      </c>
      <c r="AK33" t="s">
        <v>61</v>
      </c>
      <c r="AL33">
        <f>COUNTIFS(donnée!AN:AN,"&gt;=0,76",donnée!AN:AN,"&lt;=1,0",donnée!CP:CP,"oui")</f>
        <v>0</v>
      </c>
      <c r="AM33">
        <f>COUNTIFS(donnée!AN:AN,"&gt;=0,76",donnée!AN:AN,"&lt;=1,0",donnée!CQ:CQ,"oui")</f>
        <v>0</v>
      </c>
      <c r="AN33">
        <f>COUNTIFS(donnée!AN:AN,"&gt;=0,76",donnée!AN:AN,"&lt;=1,0",donnée!CR:CR,"oui")</f>
        <v>0</v>
      </c>
      <c r="AO33">
        <f>COUNTIFS(donnée!AN:AN,"&gt;=0,76",donnée!AN:AN,"&lt;=1,0",donnée!CS:CS,"oui")</f>
        <v>0</v>
      </c>
      <c r="AR33" t="s">
        <v>61</v>
      </c>
      <c r="AS33">
        <f>COUNTIFS(donnée!$AN:$AN,"&gt;=0,76",donnée!$AN:$AN,"&lt;=1,0",donnée!CT:CT,"oui")</f>
        <v>0</v>
      </c>
      <c r="AT33">
        <f>COUNTIFS(donnée!$AN:$AN,"&gt;=0,76",donnée!$AN:$AN,"&lt;=1,0",donnée!CU:CU,"oui")</f>
        <v>0</v>
      </c>
      <c r="AU33">
        <f>COUNTIFS(donnée!$AN:$AN,"&gt;=0,76",donnée!$AN:$AN,"&lt;=1,0",donnée!CV:CV,"oui")</f>
        <v>0</v>
      </c>
      <c r="AV33">
        <f>COUNTIFS(donnée!$AN:$AN,"&gt;=0,76",donnée!$AN:$AN,"&lt;=1,0",donnée!CW:CW,"oui")</f>
        <v>0</v>
      </c>
      <c r="AW33">
        <f>COUNTIFS(donnée!$AN:$AN,"&gt;=0,76",donnée!$AN:$AN,"&lt;=1,0",donnée!CX:CX,"oui")</f>
        <v>0</v>
      </c>
      <c r="AX33">
        <f>COUNTIFS(donnée!$AN:$AN,"&gt;=0,76",donnée!$AN:$AN,"&lt;=1,0",donnée!CY:CY,"oui")</f>
        <v>0</v>
      </c>
      <c r="AY33">
        <f>COUNTIFS(donnée!$AN:$AN,"&gt;=0,76",donnée!$AN:$AN,"&lt;=1,0",donnée!CZ:CZ,"oui")</f>
        <v>0</v>
      </c>
    </row>
    <row r="34" spans="1:51" x14ac:dyDescent="0.2">
      <c r="A34">
        <f>COUNTIFS(donnée!AN:AN,"&gt;=+0,51",donnée!AN:AN,"&lt;=+0,75")</f>
        <v>0</v>
      </c>
      <c r="B34" t="s">
        <v>62</v>
      </c>
      <c r="C34">
        <f>COUNTIFS(donnée!AN:AN,"&gt;=+0,51",donnée!AN:AN,"&lt;=+0,75",donnée!BO:BO,"oui")</f>
        <v>0</v>
      </c>
      <c r="D34">
        <f>COUNTIFS(donnée!AN:AN,"&gt;=+0,51",donnée!AN:AN,"&lt;=+0,75",donnée!BP:BP,"oui")</f>
        <v>0</v>
      </c>
      <c r="E34">
        <f>COUNTIFS(donnée!AN:AN,"&gt;=+0,51",donnée!AN:AN,"&lt;=+0,75",donnée!BQ:BQ,"oui")</f>
        <v>0</v>
      </c>
      <c r="F34">
        <f>COUNTIFS(donnée!AN:AN,"&gt;=+0,51",donnée!AN:AN,"&lt;=+0,75",donnée!BR:BR,"oui")</f>
        <v>0</v>
      </c>
      <c r="G34">
        <f>COUNTIFS(donnée!AN:AN,"&gt;=+0,51",donnée!AN:AN,"&lt;=+0,75",donnée!BS:BS,"oui")</f>
        <v>0</v>
      </c>
      <c r="H34">
        <f>COUNTIFS(donnée!AN:AN,"&gt;=+0,51",donnée!AN:AN,"&lt;=+0,75",donnée!BT:BT,"oui")</f>
        <v>0</v>
      </c>
      <c r="I34" t="s">
        <v>62</v>
      </c>
      <c r="J34">
        <f>COUNTIFS(donnée!AN:AN,"&gt;=+0,51",donnée!AN:AN,"&lt;=+0,75",donnée!BU:BU,"oui")</f>
        <v>0</v>
      </c>
      <c r="K34">
        <f>COUNTIFS(donnée!AN:AN,"&gt;=+0,51",donnée!AN:AN,"&lt;=+0,75",donnée!BV:BV,"oui")</f>
        <v>0</v>
      </c>
      <c r="L34">
        <f>COUNTIFS(donnée!AN:AN,"&gt;=+0,51",donnée!AN:AN,"&lt;=+0,75",donnée!BW:BW,"oui")</f>
        <v>0</v>
      </c>
      <c r="M34">
        <f>COUNTIFS(donnée!AN:AN,"&gt;=+0,51",donnée!AN:AN,"&lt;=+0,75",donnée!BX:BX,"oui")</f>
        <v>0</v>
      </c>
      <c r="N34">
        <f>COUNTIFS(donnée!AN:AN,"&gt;=+0,51",donnée!AN:AN,"&lt;=+0,75",donnée!BY:BY,"oui")</f>
        <v>0</v>
      </c>
      <c r="O34">
        <f>COUNTIFS(donnée!AN:AN,"&gt;=+0,51",donnée!AN:AN,"&lt;=+0,75",donnée!BZ:BZ,"oui")</f>
        <v>0</v>
      </c>
      <c r="P34" t="s">
        <v>62</v>
      </c>
      <c r="Q34">
        <f>COUNTIFS(donnée!AN:AN,"&gt;=+0,51",donnée!AN:AN,"&lt;=+0,75",donnée!CA:CA,"oui")</f>
        <v>0</v>
      </c>
      <c r="R34">
        <f>COUNTIFS(donnée!AN:AN,"&gt;=+0,51",donnée!AN:AN,"&lt;=+0,75",donnée!CB:CB,"oui")</f>
        <v>0</v>
      </c>
      <c r="S34">
        <f>COUNTIFS(donnée!AN:AN,"&gt;=+0,51",donnée!AN:AN,"&lt;=+0,75",donnée!CC:CC,"oui")</f>
        <v>0</v>
      </c>
      <c r="T34">
        <f>COUNTIFS(donnée!AN:AN,"&gt;=+0,51",donnée!AN:AN,"&lt;=+0,75",donnée!CD:CD,"oui")</f>
        <v>0</v>
      </c>
      <c r="U34">
        <f>COUNTIFS(donnée!AN:AN,"&gt;=+0,51",donnée!AN:AN,"&lt;=+0,75",donnée!CE:CE,"oui")</f>
        <v>0</v>
      </c>
      <c r="V34">
        <f>COUNTIFS(donnée!AN:AN,"&gt;=+0,51",donnée!AN:AN,"&lt;=+0,75",donnée!CF:CF,"oui")</f>
        <v>0</v>
      </c>
      <c r="W34" t="s">
        <v>62</v>
      </c>
      <c r="X34">
        <f>COUNTIFS(donnée!AN:AN,"&gt;=+0,51",donnée!AN:AN,"&lt;=+0,75",donnée!CG:CG,"oui")</f>
        <v>0</v>
      </c>
      <c r="Y34">
        <f>COUNTIFS(donnée!AN:AN,"&gt;=+0,51",donnée!AN:AN,"&lt;=+0,75",donnée!CH:CH,"oui")</f>
        <v>0</v>
      </c>
      <c r="Z34">
        <f>COUNTIFS(donnée!AN:AN,"&gt;=+0,51",donnée!AN:AN,"&lt;=+0,75",donnée!CI:CI,"oui")</f>
        <v>0</v>
      </c>
      <c r="AA34">
        <f>COUNTIFS(donnée!AN:AN,"&gt;=+0,51",donnée!AN:AN,"&lt;=+0,75",donnée!CJ:CJ,"oui")</f>
        <v>0</v>
      </c>
      <c r="AB34">
        <f>COUNTIFS(donnée!AN:AN,"&gt;=+0,51",donnée!AN:AN,"&lt;=+0,75",donnée!CK:CK,"oui")</f>
        <v>0</v>
      </c>
      <c r="AD34" t="s">
        <v>62</v>
      </c>
      <c r="AE34">
        <f>COUNTIFS(donnée!AN:AN,"&gt;=+0,51",donnée!AN:AN,"&lt;=+0,75",donnée!CL:CL,"oui")</f>
        <v>0</v>
      </c>
      <c r="AF34">
        <f>COUNTIFS(donnée!AN:AN,"&gt;=+0,51",donnée!AN:AN,"&lt;=+0,75",donnée!CM:CM,"oui")</f>
        <v>0</v>
      </c>
      <c r="AG34">
        <f>COUNTIFS(donnée!AN:AN,"&gt;=+0,51",donnée!AN:AN,"&lt;=+0,75",donnée!CN:CN,"oui")</f>
        <v>0</v>
      </c>
      <c r="AH34">
        <f>COUNTIFS(donnée!AN:AN,"&gt;=+0,51",donnée!AN:AN,"&lt;=+0,75",donnée!CO:CO,"oui")</f>
        <v>0</v>
      </c>
      <c r="AK34" t="s">
        <v>62</v>
      </c>
      <c r="AL34">
        <f>COUNTIFS(donnée!AN:AN,"&gt;=+0,51",donnée!AN:AN,"&lt;=+0,75",donnée!CP:CP,"oui")</f>
        <v>0</v>
      </c>
      <c r="AM34">
        <f>COUNTIFS(donnée!AN:AN,"&gt;=+0,51",donnée!AN:AN,"&lt;=+0,75",donnée!CQ:CQ,"oui")</f>
        <v>0</v>
      </c>
      <c r="AN34">
        <f>COUNTIFS(donnée!AN:AN,"&gt;=+0,51",donnée!AN:AN,"&lt;=+0,75",donnée!CR:CR,"oui")</f>
        <v>0</v>
      </c>
      <c r="AO34">
        <f>COUNTIFS(donnée!AN:AN,"&gt;=+0,51",donnée!AN:AN,"&lt;=+0,75",donnée!CS:CS,"oui")</f>
        <v>0</v>
      </c>
      <c r="AR34" t="s">
        <v>62</v>
      </c>
      <c r="AS34">
        <f>COUNTIFS(donnée!$AN:$AN,"&gt;=+0,51",donnée!$AN:$AN,"&lt;=+0,75",donnée!CT:CT,"oui")</f>
        <v>0</v>
      </c>
      <c r="AT34">
        <f>COUNTIFS(donnée!$AN:$AN,"&gt;=+0,51",donnée!$AN:$AN,"&lt;=+0,75",donnée!CU:CU,"oui")</f>
        <v>0</v>
      </c>
      <c r="AU34">
        <f>COUNTIFS(donnée!$AN:$AN,"&gt;=+0,51",donnée!$AN:$AN,"&lt;=+0,75",donnée!CV:CV,"oui")</f>
        <v>0</v>
      </c>
      <c r="AV34">
        <f>COUNTIFS(donnée!$AN:$AN,"&gt;=+0,51",donnée!$AN:$AN,"&lt;=+0,75",donnée!CW:CW,"oui")</f>
        <v>0</v>
      </c>
      <c r="AW34">
        <f>COUNTIFS(donnée!$AN:$AN,"&gt;=+0,51",donnée!$AN:$AN,"&lt;=+0,75",donnée!CX:CX,"oui")</f>
        <v>0</v>
      </c>
      <c r="AX34">
        <f>COUNTIFS(donnée!$AN:$AN,"&gt;=+0,51",donnée!$AN:$AN,"&lt;=+0,75",donnée!CY:CY,"oui")</f>
        <v>0</v>
      </c>
      <c r="AY34">
        <f>COUNTIFS(donnée!$AN:$AN,"&gt;=+0,51",donnée!$AN:$AN,"&lt;=+0,75",donnée!CZ:CZ,"oui")</f>
        <v>0</v>
      </c>
    </row>
    <row r="35" spans="1:51" x14ac:dyDescent="0.2">
      <c r="A35">
        <f>COUNTIFS(donnée!AN:AN,"&gt;=+0,26",donnée!AN:AN,"&lt;=+0,50")</f>
        <v>0</v>
      </c>
      <c r="B35" t="s">
        <v>63</v>
      </c>
      <c r="C35">
        <f>COUNTIFS(donnée!AN:AN,"&gt;=+0,26",donnée!AN:AN,"&lt;=+0,50",donnée!BO:BO,"oui")</f>
        <v>0</v>
      </c>
      <c r="D35">
        <f>COUNTIFS(donnée!AN:AN,"&gt;=+0,26",donnée!AN:AN,"&lt;=+0,50",donnée!BP:BP,"oui")</f>
        <v>0</v>
      </c>
      <c r="E35">
        <f>COUNTIFS(donnée!AN:AN,"&gt;=+0,26",donnée!AN:AN,"&lt;=+0,50",donnée!BQ:BQ,"oui")</f>
        <v>0</v>
      </c>
      <c r="F35">
        <f>COUNTIFS(donnée!AN:AN,"&gt;=+0,26",donnée!AN:AN,"&lt;=+0,50",donnée!BR:BR,"oui")</f>
        <v>0</v>
      </c>
      <c r="G35">
        <f>COUNTIFS(donnée!AN:AN,"&gt;=+0,26",donnée!AN:AN,"&lt;=+0,50",donnée!BS:BS,"oui")</f>
        <v>0</v>
      </c>
      <c r="H35">
        <f>COUNTIFS(donnée!AN:AN,"&gt;=+0,26",donnée!AN:AN,"&lt;=+0,50",donnée!BT:BT,"oui")</f>
        <v>0</v>
      </c>
      <c r="I35" t="s">
        <v>63</v>
      </c>
      <c r="J35">
        <f>COUNTIFS(donnée!AN:AN,"&gt;=+0,26",donnée!AN:AN,"&lt;=+0,50",donnée!BU:BU,"oui")</f>
        <v>0</v>
      </c>
      <c r="K35">
        <f>COUNTIFS(donnée!AN:AN,"&gt;=+0,26",donnée!AN:AN,"&lt;=+0,50",donnée!BV:BV,"oui")</f>
        <v>0</v>
      </c>
      <c r="L35">
        <f>COUNTIFS(donnée!AN:AN,"&gt;=+0,26",donnée!AN:AN,"&lt;=+0,50",donnée!BW:BW,"oui")</f>
        <v>0</v>
      </c>
      <c r="M35">
        <f>COUNTIFS(donnée!AN:AN,"&gt;=+0,26",donnée!AN:AN,"&lt;=+0,50",donnée!BX:BX,"oui")</f>
        <v>0</v>
      </c>
      <c r="N35">
        <f>COUNTIFS(donnée!AN:AN,"&gt;=+0,26",donnée!AN:AN,"&lt;=+0,50",donnée!BY:BY,"oui")</f>
        <v>0</v>
      </c>
      <c r="O35">
        <f>COUNTIFS(donnée!AN:AN,"&gt;=+0,26",donnée!AN:AN,"&lt;=+0,50",donnée!BZ:BZ,"oui")</f>
        <v>0</v>
      </c>
      <c r="P35" t="s">
        <v>63</v>
      </c>
      <c r="Q35">
        <f>COUNTIFS(donnée!AN:AN,"&gt;=+0,26",donnée!AN:AN,"&lt;=+0,50",donnée!CA:CA,"oui")</f>
        <v>0</v>
      </c>
      <c r="R35">
        <f>COUNTIFS(donnée!AN:AN,"&gt;=+0,26",donnée!AN:AN,"&lt;=+0,50",donnée!CB:CB,"oui")</f>
        <v>0</v>
      </c>
      <c r="S35">
        <f>COUNTIFS(donnée!AN:AN,"&gt;=+0,26",donnée!AN:AN,"&lt;=+0,50",donnée!CC:CC,"oui")</f>
        <v>0</v>
      </c>
      <c r="T35">
        <f>COUNTIFS(donnée!AN:AN,"&gt;=+0,26",donnée!AN:AN,"&lt;=+0,50",donnée!CD:CD,"oui")</f>
        <v>0</v>
      </c>
      <c r="U35">
        <f>COUNTIFS(donnée!AN:AN,"&gt;=+0,26",donnée!AN:AN,"&lt;=+0,50",donnée!CE:CE,"oui")</f>
        <v>0</v>
      </c>
      <c r="V35">
        <f>COUNTIFS(donnée!AN:AN,"&gt;=+0,26",donnée!AN:AN,"&lt;=+0,50",donnée!CF:CF,"oui")</f>
        <v>0</v>
      </c>
      <c r="W35" t="s">
        <v>63</v>
      </c>
      <c r="X35">
        <f>COUNTIFS(donnée!AN:AN,"&gt;=+0,26",donnée!AN:AN,"&lt;=+0,50",donnée!CG:CG,"oui")</f>
        <v>0</v>
      </c>
      <c r="Y35">
        <f>COUNTIFS(donnée!AN:AN,"&gt;=+0,26",donnée!AN:AN,"&lt;=+0,50",donnée!CH:CH,"oui")</f>
        <v>0</v>
      </c>
      <c r="Z35">
        <f>COUNTIFS(donnée!AN:AN,"&gt;=+0,26",donnée!AN:AN,"&lt;=+0,50",donnée!CI:CI,"oui")</f>
        <v>0</v>
      </c>
      <c r="AA35">
        <f>COUNTIFS(donnée!AN:AN,"&gt;=+0,26",donnée!AN:AN,"&lt;=+0,50",donnée!CJ:CJ,"oui")</f>
        <v>0</v>
      </c>
      <c r="AB35">
        <f>COUNTIFS(donnée!AN:AN,"&gt;=+0,26",donnée!AN:AN,"&lt;=+0,50",donnée!CK:CK,"oui")</f>
        <v>0</v>
      </c>
      <c r="AD35" t="s">
        <v>63</v>
      </c>
      <c r="AE35">
        <f>COUNTIFS(donnée!AN:AN,"&gt;=+0,26",donnée!AN:AN,"&lt;=+0,50",donnée!CL:CL,"oui")</f>
        <v>0</v>
      </c>
      <c r="AF35">
        <f>COUNTIFS(donnée!AN:AN,"&gt;=+0,26",donnée!AN:AN,"&lt;=+0,50",donnée!CM:CM,"oui")</f>
        <v>0</v>
      </c>
      <c r="AG35">
        <f>COUNTIFS(donnée!AN:AN,"&gt;=+0,26",donnée!AN:AN,"&lt;=+0,50",donnée!CN:CN,"oui")</f>
        <v>0</v>
      </c>
      <c r="AH35">
        <f>COUNTIFS(donnée!AN:AN,"&gt;=+0,26",donnée!AN:AN,"&lt;=+0,50",donnée!CO:CO,"oui")</f>
        <v>0</v>
      </c>
      <c r="AK35" t="s">
        <v>63</v>
      </c>
      <c r="AL35">
        <f>COUNTIFS(donnée!AN:AN,"&gt;=+0,26",donnée!AN:AN,"&lt;=+0,50",donnée!CP:CP,"oui")</f>
        <v>0</v>
      </c>
      <c r="AM35">
        <f>COUNTIFS(donnée!AN:AN,"&gt;=+0,26",donnée!AN:AN,"&lt;=+0,50",donnée!CQ:CQ,"oui")</f>
        <v>0</v>
      </c>
      <c r="AN35">
        <f>COUNTIFS(donnée!AN:AN,"&gt;=+0,26",donnée!AN:AN,"&lt;=+0,50",donnée!CR:CR,"oui")</f>
        <v>0</v>
      </c>
      <c r="AO35">
        <f>COUNTIFS(donnée!AN:AN,"&gt;=+0,26",donnée!AN:AN,"&lt;=+0,50",donnée!CS:CS,"oui")</f>
        <v>0</v>
      </c>
      <c r="AR35" t="s">
        <v>63</v>
      </c>
      <c r="AS35">
        <f>COUNTIFS(donnée!$AN:$AN,"&gt;=+0,26",donnée!$AN:$AN,"&lt;=+0,50",donnée!CT:CT,"oui")</f>
        <v>0</v>
      </c>
      <c r="AT35">
        <f>COUNTIFS(donnée!$AN:$AN,"&gt;=+0,26",donnée!$AN:$AN,"&lt;=+0,50",donnée!CU:CU,"oui")</f>
        <v>0</v>
      </c>
      <c r="AU35">
        <f>COUNTIFS(donnée!$AN:$AN,"&gt;=+0,26",donnée!$AN:$AN,"&lt;=+0,50",donnée!CV:CV,"oui")</f>
        <v>0</v>
      </c>
      <c r="AV35">
        <f>COUNTIFS(donnée!$AN:$AN,"&gt;=+0,26",donnée!$AN:$AN,"&lt;=+0,50",donnée!CW:CW,"oui")</f>
        <v>0</v>
      </c>
      <c r="AW35">
        <f>COUNTIFS(donnée!$AN:$AN,"&gt;=+0,26",donnée!$AN:$AN,"&lt;=+0,50",donnée!CX:CX,"oui")</f>
        <v>0</v>
      </c>
      <c r="AX35">
        <f>COUNTIFS(donnée!$AN:$AN,"&gt;=+0,26",donnée!$AN:$AN,"&lt;=+0,50",donnée!CY:CY,"oui")</f>
        <v>0</v>
      </c>
      <c r="AY35">
        <f>COUNTIFS(donnée!$AN:$AN,"&gt;=+0,26",donnée!$AN:$AN,"&lt;=+0,50",donnée!CZ:CZ,"oui")</f>
        <v>0</v>
      </c>
    </row>
    <row r="36" spans="1:51" x14ac:dyDescent="0.2">
      <c r="A36">
        <f>COUNTIFS(donnée!AN:AN,"&gt;=-0,25",donnée!AN:AN,"&lt;=+0,25")</f>
        <v>0</v>
      </c>
      <c r="B36" t="s">
        <v>64</v>
      </c>
      <c r="C36">
        <f>COUNTIFS(donnée!AN:AN,"&gt;=-0,25",donnée!AN:AN,"&lt;=+0,25",donnée!BO:BO,"oui")</f>
        <v>0</v>
      </c>
      <c r="D36">
        <f>COUNTIFS(donnée!AN:AN,"&gt;=-0,25",donnée!AN:AN,"&lt;=+0,25",donnée!BP:BP,"oui")</f>
        <v>0</v>
      </c>
      <c r="E36">
        <f>COUNTIFS(donnée!AN:AN,"&gt;=-0,25",donnée!AN:AN,"&lt;=+0,25",donnée!BQ:BQ,"oui")</f>
        <v>0</v>
      </c>
      <c r="F36">
        <f>COUNTIFS(donnée!AN:AN,"&gt;=-0,25",donnée!AN:AN,"&lt;=+0,25",donnée!BR:BR,"oui")</f>
        <v>0</v>
      </c>
      <c r="G36">
        <f>COUNTIFS(donnée!AN:AN,"&gt;=-0,25",donnée!AN:AN,"&lt;=+0,25",donnée!BS:BS,"oui")</f>
        <v>0</v>
      </c>
      <c r="H36">
        <f>COUNTIFS(donnée!AN:AN,"&gt;=-0,25",donnée!AN:AN,"&lt;=+0,25",donnée!BT:BT,"oui")</f>
        <v>0</v>
      </c>
      <c r="I36" t="s">
        <v>64</v>
      </c>
      <c r="J36">
        <f>COUNTIFS(donnée!AN:AN,"&gt;=-0,25",donnée!AN:AN,"&lt;=+0,25",donnée!BU:BU,"oui")</f>
        <v>0</v>
      </c>
      <c r="K36">
        <f>COUNTIFS(donnée!AN:AN,"&gt;=-0,25",donnée!AN:AN,"&lt;=+0,25",donnée!BV:BV,"oui")</f>
        <v>0</v>
      </c>
      <c r="L36">
        <f>COUNTIFS(donnée!AN:AN,"&gt;=-0,25",donnée!AN:AN,"&lt;=+0,25",donnée!BW:BW,"oui")</f>
        <v>0</v>
      </c>
      <c r="M36">
        <f>COUNTIFS(donnée!AN:AN,"&gt;=-0,25",donnée!AN:AN,"&lt;=+0,25",donnée!BX:BX,"oui")</f>
        <v>0</v>
      </c>
      <c r="N36">
        <f>COUNTIFS(donnée!AN:AN,"&gt;=-0,25",donnée!AN:AN,"&lt;=+0,25",donnée!BY:BY,"oui")</f>
        <v>0</v>
      </c>
      <c r="O36">
        <f>COUNTIFS(donnée!AN:AN,"&gt;=-0,25",donnée!AN:AN,"&lt;=+0,25",donnée!BZ:BZ,"oui")</f>
        <v>0</v>
      </c>
      <c r="P36" t="s">
        <v>64</v>
      </c>
      <c r="Q36">
        <f>COUNTIFS(donnée!AN:AN,"&gt;=-0,25",donnée!AN:AN,"&lt;=+0,25",donnée!CA:CA,"oui")</f>
        <v>0</v>
      </c>
      <c r="R36">
        <f>COUNTIFS(donnée!AN:AN,"&gt;=-0,25",donnée!AN:AN,"&lt;=+0,25",donnée!CB:CB,"oui")</f>
        <v>0</v>
      </c>
      <c r="S36">
        <f>COUNTIFS(donnée!AN:AN,"&gt;=-0,25",donnée!AN:AN,"&lt;=+0,25",donnée!CC:CC,"oui")</f>
        <v>0</v>
      </c>
      <c r="T36">
        <f>COUNTIFS(donnée!AN:AN,"&gt;=-0,25",donnée!AN:AN,"&lt;=+0,25",donnée!CD:CD,"oui")</f>
        <v>0</v>
      </c>
      <c r="U36">
        <f>COUNTIFS(donnée!AN:AN,"&gt;=-0,25",donnée!AN:AN,"&lt;=+0,25",donnée!CE:CE,"oui")</f>
        <v>0</v>
      </c>
      <c r="V36">
        <f>COUNTIFS(donnée!AN:AN,"&gt;=-0,25",donnée!AN:AN,"&lt;=+0,25",donnée!CF:CF,"oui")</f>
        <v>0</v>
      </c>
      <c r="W36" t="s">
        <v>64</v>
      </c>
      <c r="X36">
        <f>COUNTIFS(donnée!AN:AN,"&gt;=-0,25",donnée!AN:AN,"&lt;=+0,25",donnée!CG:CG,"oui")</f>
        <v>0</v>
      </c>
      <c r="Y36">
        <f>COUNTIFS(donnée!AN:AN,"&gt;=-0,25",donnée!AN:AN,"&lt;=+0,25",donnée!CH:CH,"oui")</f>
        <v>0</v>
      </c>
      <c r="Z36">
        <f>COUNTIFS(donnée!AN:AN,"&gt;=-0,25",donnée!AN:AN,"&lt;=+0,25",donnée!CI:CI,"oui")</f>
        <v>0</v>
      </c>
      <c r="AA36">
        <f>COUNTIFS(donnée!AN:AN,"&gt;=-0,25",donnée!AN:AN,"&lt;=+0,25",donnée!CJ:CJ,"oui")</f>
        <v>0</v>
      </c>
      <c r="AB36">
        <f>COUNTIFS(donnée!AN:AN,"&gt;=-0,25",donnée!AN:AN,"&lt;=+0,25",donnée!CK:CK,"oui")</f>
        <v>0</v>
      </c>
      <c r="AD36" t="s">
        <v>64</v>
      </c>
      <c r="AE36">
        <f>COUNTIFS(donnée!AN:AN,"&gt;=-0,25",donnée!AN:AN,"&lt;=+0,25",donnée!CL:CL,"oui")</f>
        <v>0</v>
      </c>
      <c r="AF36">
        <f>COUNTIFS(donnée!AN:AN,"&gt;=-0,25",donnée!AN:AN,"&lt;=+0,25",donnée!CM:CM,"oui")</f>
        <v>0</v>
      </c>
      <c r="AG36">
        <f>COUNTIFS(donnée!AN:AN,"&gt;=-0,25",donnée!AN:AN,"&lt;=+0,25",donnée!CN:CN,"oui")</f>
        <v>0</v>
      </c>
      <c r="AH36">
        <f>COUNTIFS(donnée!AN:AN,"&gt;=-0,25",donnée!AN:AN,"&lt;=+0,25",donnée!CO:CO,"oui")</f>
        <v>0</v>
      </c>
      <c r="AK36" t="s">
        <v>64</v>
      </c>
      <c r="AL36">
        <f>COUNTIFS(donnée!AN:AN,"&gt;=-0,25",donnée!AN:AN,"&lt;=+0,25",donnée!CP:CP,"oui")</f>
        <v>0</v>
      </c>
      <c r="AM36">
        <f>COUNTIFS(donnée!AN:AN,"&gt;=-0,25",donnée!AN:AN,"&lt;=+0,25",donnée!CQ:CQ,"oui")</f>
        <v>0</v>
      </c>
      <c r="AN36">
        <f>COUNTIFS(donnée!AN:AN,"&gt;=-0,25",donnée!AN:AN,"&lt;=+0,25",donnée!CR:CR,"oui")</f>
        <v>0</v>
      </c>
      <c r="AO36">
        <f>COUNTIFS(donnée!AN:AN,"&gt;=-0,25",donnée!AN:AN,"&lt;=+0,25",donnée!CS:CS,"oui")</f>
        <v>0</v>
      </c>
      <c r="AR36" t="s">
        <v>64</v>
      </c>
      <c r="AS36">
        <f>COUNTIFS(donnée!$AN:$AN,"&gt;=-0,25",donnée!$AN:$AN,"&lt;=+0,25",donnée!CT:CT,"oui")</f>
        <v>0</v>
      </c>
      <c r="AT36">
        <f>COUNTIFS(donnée!$AN:$AN,"&gt;=-0,25",donnée!$AN:$AN,"&lt;=+0,25",donnée!CU:CU,"oui")</f>
        <v>0</v>
      </c>
      <c r="AU36">
        <f>COUNTIFS(donnée!$AN:$AN,"&gt;=-0,25",donnée!$AN:$AN,"&lt;=+0,25",donnée!CV:CV,"oui")</f>
        <v>0</v>
      </c>
      <c r="AV36">
        <f>COUNTIFS(donnée!$AN:$AN,"&gt;=-0,25",donnée!$AN:$AN,"&lt;=+0,25",donnée!CW:CW,"oui")</f>
        <v>0</v>
      </c>
      <c r="AW36">
        <f>COUNTIFS(donnée!$AN:$AN,"&gt;=-0,25",donnée!$AN:$AN,"&lt;=+0,25",donnée!CX:CX,"oui")</f>
        <v>0</v>
      </c>
      <c r="AX36">
        <f>COUNTIFS(donnée!$AN:$AN,"&gt;=-0,25",donnée!$AN:$AN,"&lt;=+0,25",donnée!CY:CY,"oui")</f>
        <v>0</v>
      </c>
      <c r="AY36">
        <f>COUNTIFS(donnée!$AN:$AN,"&gt;=-0,25",donnée!$AN:$AN,"&lt;=+0,25",donnée!CZ:CZ,"oui")</f>
        <v>0</v>
      </c>
    </row>
    <row r="37" spans="1:51" ht="15.75" customHeight="1" x14ac:dyDescent="0.2">
      <c r="A37">
        <f>COUNTIFS(donnée!AN:AN,"&gt;=-0,50",donnée!AN:AN,"&lt;=-0,26")</f>
        <v>0</v>
      </c>
      <c r="B37" t="s">
        <v>65</v>
      </c>
      <c r="C37">
        <f>COUNTIFS(donnée!AN:AN,"&gt;=-0,50",donnée!AN:AN,"&lt;=-0,26",donnée!BO:BO,"oui")</f>
        <v>0</v>
      </c>
      <c r="D37">
        <f>COUNTIFS(donnée!AN:AN,"&gt;=-0,50",donnée!AN:AN,"&lt;=-0,26",donnée!BP:BP,"oui")</f>
        <v>0</v>
      </c>
      <c r="E37">
        <f>COUNTIFS(donnée!AN:AN,"&gt;=-0,50",donnée!AN:AN,"&lt;=-0,26",donnée!BQ:BQ,"oui")</f>
        <v>0</v>
      </c>
      <c r="F37">
        <f>COUNTIFS(donnée!AN:AN,"&gt;=-0,50",donnée!AN:AN,"&lt;=-0,26",donnée!BR:BR,"oui")</f>
        <v>0</v>
      </c>
      <c r="G37">
        <f>COUNTIFS(donnée!AN:AN,"&gt;=-0,50",donnée!AN:AN,"&lt;=-0,26",donnée!BS:BS,"oui")</f>
        <v>0</v>
      </c>
      <c r="H37">
        <f>COUNTIFS(donnée!AN:AN,"&gt;=-0,50",donnée!AN:AN,"&lt;=-0,26",donnée!BT:BT,"oui")</f>
        <v>0</v>
      </c>
      <c r="I37" t="s">
        <v>65</v>
      </c>
      <c r="J37">
        <f>COUNTIFS(donnée!AN:AN,"&gt;=-0,50",donnée!AN:AN,"&lt;=-0,26",donnée!BU:BU,"oui")</f>
        <v>0</v>
      </c>
      <c r="K37">
        <f>COUNTIFS(donnée!AN:AN,"&gt;=-0,50",donnée!AN:AN,"&lt;=-0,26",donnée!BV:BV,"oui")</f>
        <v>0</v>
      </c>
      <c r="L37">
        <f>COUNTIFS(donnée!AN:AN,"&gt;=-0,50",donnée!AN:AN,"&lt;=-0,26",donnée!BW:BW,"oui")</f>
        <v>0</v>
      </c>
      <c r="M37">
        <f>COUNTIFS(donnée!AN:AN,"&gt;=-0,50",donnée!AN:AN,"&lt;=-0,26",donnée!BX:BX,"oui")</f>
        <v>0</v>
      </c>
      <c r="N37">
        <f>COUNTIFS(donnée!AN:AN,"&gt;=-0,50",donnée!AN:AN,"&lt;=-0,26",donnée!BY:BY,"oui")</f>
        <v>0</v>
      </c>
      <c r="O37">
        <f>COUNTIFS(donnée!AN:AN,"&gt;=-0,50",donnée!AN:AN,"&lt;=-0,26",donnée!BZ:BZ,"oui")</f>
        <v>0</v>
      </c>
      <c r="P37" t="s">
        <v>65</v>
      </c>
      <c r="Q37">
        <f>COUNTIFS(donnée!AN:AN,"&gt;=-0,50",donnée!AN:AN,"&lt;=-0,26",donnée!CA:CA,"oui")</f>
        <v>0</v>
      </c>
      <c r="R37">
        <f>COUNTIFS(donnée!AN:AN,"&gt;=-0,50",donnée!AN:AN,"&lt;=-0,26",donnée!CB:CB,"oui")</f>
        <v>0</v>
      </c>
      <c r="S37">
        <f>COUNTIFS(donnée!AN:AN,"&gt;=-0,50",donnée!AN:AN,"&lt;=-0,26",donnée!CC:CC,"oui")</f>
        <v>0</v>
      </c>
      <c r="T37">
        <f>COUNTIFS(donnée!AN:AN,"&gt;=-0,50",donnée!AN:AN,"&lt;=-0,26",donnée!CD:CD,"oui")</f>
        <v>0</v>
      </c>
      <c r="U37">
        <f>COUNTIFS(donnée!AN:AN,"&gt;=-0,50",donnée!AN:AN,"&lt;=-0,26",donnée!CE:CE,"oui")</f>
        <v>0</v>
      </c>
      <c r="V37">
        <f>COUNTIFS(donnée!AN:AN,"&gt;=-0,50",donnée!AN:AN,"&lt;=-0,26",donnée!CF:CF,"oui")</f>
        <v>0</v>
      </c>
      <c r="W37" t="s">
        <v>65</v>
      </c>
      <c r="X37">
        <f>COUNTIFS(donnée!AN:AN,"&gt;=-0,50",donnée!AN:AN,"&lt;=-0,26",donnée!CG:CG,"oui")</f>
        <v>0</v>
      </c>
      <c r="Y37">
        <f>COUNTIFS(donnée!AN:AN,"&gt;=-0,50",donnée!AN:AN,"&lt;=-0,26",donnée!CH:CH,"oui")</f>
        <v>0</v>
      </c>
      <c r="Z37">
        <f>COUNTIFS(donnée!AN:AN,"&gt;=-0,50",donnée!AN:AN,"&lt;=-0,26",donnée!CI:CI,"oui")</f>
        <v>0</v>
      </c>
      <c r="AA37">
        <f>COUNTIFS(donnée!AN:AN,"&gt;=-0,50",donnée!AN:AN,"&lt;=-0,26",donnée!CJ:CJ,"oui")</f>
        <v>0</v>
      </c>
      <c r="AB37">
        <f>COUNTIFS(donnée!AN:AN,"&gt;=-0,50",donnée!AN:AN,"&lt;=-0,26",donnée!CK:CK,"oui")</f>
        <v>0</v>
      </c>
      <c r="AD37" t="s">
        <v>65</v>
      </c>
      <c r="AE37">
        <f>COUNTIFS(donnée!AN:AN,"&gt;=-0,50",donnée!AN:AN,"&lt;=-0,26",donnée!CL:CL,"oui")</f>
        <v>0</v>
      </c>
      <c r="AF37">
        <f>COUNTIFS(donnée!AN:AN,"&gt;=-0,50",donnée!AN:AN,"&lt;=-0,26",donnée!CM:CM,"oui")</f>
        <v>0</v>
      </c>
      <c r="AG37">
        <f>COUNTIFS(donnée!AN:AN,"&gt;=-0,50",donnée!AN:AN,"&lt;=-0,26",donnée!CN:CN,"oui")</f>
        <v>0</v>
      </c>
      <c r="AH37">
        <f>COUNTIFS(donnée!AN:AN,"&gt;=-0,50",donnée!AN:AN,"&lt;=-0,26",donnée!CO:CO,"oui")</f>
        <v>0</v>
      </c>
      <c r="AK37" t="s">
        <v>65</v>
      </c>
      <c r="AL37">
        <f>COUNTIFS(donnée!AN:AN,"&gt;=-0,50",donnée!AN:AN,"&lt;=-0,26",donnée!CP:CP,"oui")</f>
        <v>0</v>
      </c>
      <c r="AM37">
        <f>COUNTIFS(donnée!AN:AN,"&gt;=-0,50",donnée!AN:AN,"&lt;=-0,26",donnée!CQ:CQ,"oui")</f>
        <v>0</v>
      </c>
      <c r="AN37">
        <f>COUNTIFS(donnée!AN:AN,"&gt;=-0,50",donnée!AN:AN,"&lt;=-0,26",donnée!CR:CR,"oui")</f>
        <v>0</v>
      </c>
      <c r="AO37">
        <f>COUNTIFS(donnée!AN:AN,"&gt;=-0,50",donnée!AN:AN,"&lt;=-0,26",donnée!CS:CS,"oui")</f>
        <v>0</v>
      </c>
      <c r="AR37" t="s">
        <v>65</v>
      </c>
      <c r="AS37">
        <f>COUNTIFS(donnée!$AN:$AN,"&gt;=-0,50",donnée!$AN:$AN,"&lt;=-0,26",donnée!CT:CT,"oui")</f>
        <v>0</v>
      </c>
      <c r="AT37">
        <f>COUNTIFS(donnée!$AN:$AN,"&gt;=-0,50",donnée!$AN:$AN,"&lt;=-0,26",donnée!CU:CU,"oui")</f>
        <v>0</v>
      </c>
      <c r="AU37">
        <f>COUNTIFS(donnée!$AN:$AN,"&gt;=-0,50",donnée!$AN:$AN,"&lt;=-0,26",donnée!CV:CV,"oui")</f>
        <v>0</v>
      </c>
      <c r="AV37">
        <f>COUNTIFS(donnée!$AN:$AN,"&gt;=-0,50",donnée!$AN:$AN,"&lt;=-0,26",donnée!CW:CW,"oui")</f>
        <v>0</v>
      </c>
      <c r="AW37">
        <f>COUNTIFS(donnée!$AN:$AN,"&gt;=-0,50",donnée!$AN:$AN,"&lt;=-0,26",donnée!CX:CX,"oui")</f>
        <v>0</v>
      </c>
      <c r="AX37">
        <f>COUNTIFS(donnée!$AN:$AN,"&gt;=-0,50",donnée!$AN:$AN,"&lt;=-0,26",donnée!CY:CY,"oui")</f>
        <v>0</v>
      </c>
      <c r="AY37">
        <f>COUNTIFS(donnée!$AN:$AN,"&gt;=-0,50",donnée!$AN:$AN,"&lt;=-0,26",donnée!CZ:CZ,"oui")</f>
        <v>0</v>
      </c>
    </row>
    <row r="38" spans="1:51" x14ac:dyDescent="0.2">
      <c r="A38">
        <f>COUNTIFS(donnée!AN:AN,"&gt;=-0,75",donnée!AN:AN,"&lt;=-0,51")</f>
        <v>0</v>
      </c>
      <c r="B38" t="s">
        <v>66</v>
      </c>
      <c r="C38">
        <f>COUNTIFS(donnée!AN:AN,"&gt;=-0,75",donnée!AN:AN,"&lt;=-0,51",donnée!BO:BO,"oui")</f>
        <v>0</v>
      </c>
      <c r="D38">
        <f>COUNTIFS(donnée!AN:AN,"&gt;=-0,75",donnée!AN:AN,"&lt;=-0,51",donnée!BP:BP,"oui")</f>
        <v>0</v>
      </c>
      <c r="E38">
        <f>COUNTIFS(donnée!AN:AN,"&gt;=-0,75",donnée!AN:AN,"&lt;=-0,51",donnée!BQ:BQ,"oui")</f>
        <v>0</v>
      </c>
      <c r="F38">
        <f>COUNTIFS(donnée!AN:AN,"&gt;=-0,75",donnée!AN:AN,"&lt;=-0,51",donnée!BR:BR,"oui")</f>
        <v>0</v>
      </c>
      <c r="G38">
        <f>COUNTIFS(donnée!AN:AN,"&gt;=-0,75",donnée!AN:AN,"&lt;=-0,51",donnée!BS:BS,"oui")</f>
        <v>0</v>
      </c>
      <c r="H38">
        <f>COUNTIFS(donnée!AN:AN,"&gt;=-0,75",donnée!AN:AN,"&lt;=-0,51",donnée!BT:BT,"oui")</f>
        <v>0</v>
      </c>
      <c r="I38" t="s">
        <v>66</v>
      </c>
      <c r="J38">
        <f>COUNTIFS(donnée!AN:AN,"&gt;=-0,75",donnée!AN:AN,"&lt;=-0,51",donnée!BU:BU,"oui")</f>
        <v>0</v>
      </c>
      <c r="K38">
        <f>COUNTIFS(donnée!AN:AN,"&gt;=-0,75",donnée!AN:AN,"&lt;=-0,51",donnée!BV:BV,"oui")</f>
        <v>0</v>
      </c>
      <c r="L38">
        <f>COUNTIFS(donnée!AN:AN,"&gt;=-0,75",donnée!AN:AN,"&lt;=-0,51",donnée!BW:BW,"oui")</f>
        <v>0</v>
      </c>
      <c r="M38">
        <f>COUNTIFS(donnée!AN:AN,"&gt;=-0,75",donnée!AN:AN,"&lt;=-0,51",donnée!BX:BX,"oui")</f>
        <v>0</v>
      </c>
      <c r="N38">
        <f>COUNTIFS(donnée!AN:AN,"&gt;=-0,75",donnée!AN:AN,"&lt;=-0,51",donnée!BY:BY,"oui")</f>
        <v>0</v>
      </c>
      <c r="O38">
        <f>COUNTIFS(donnée!AN:AN,"&gt;=-0,75",donnée!AN:AN,"&lt;=-0,51",donnée!BZ:BZ,"oui")</f>
        <v>0</v>
      </c>
      <c r="P38" t="s">
        <v>66</v>
      </c>
      <c r="Q38">
        <f>COUNTIFS(donnée!AN:AN,"&gt;=-0,75",donnée!AN:AN,"&lt;=-0,51",donnée!CA:CA,"oui")</f>
        <v>0</v>
      </c>
      <c r="R38">
        <f>COUNTIFS(donnée!AN:AN,"&gt;=-0,75",donnée!AN:AN,"&lt;=-0,51",donnée!CB:CB,"oui")</f>
        <v>0</v>
      </c>
      <c r="S38">
        <f>COUNTIFS(donnée!AN:AN,"&gt;=-0,75",donnée!AN:AN,"&lt;=-0,51",donnée!CC:CC,"oui")</f>
        <v>0</v>
      </c>
      <c r="T38">
        <f>COUNTIFS(donnée!AN:AN,"&gt;=-0,75",donnée!AN:AN,"&lt;=-0,51",donnée!CD:CD,"oui")</f>
        <v>0</v>
      </c>
      <c r="U38">
        <f>COUNTIFS(donnée!AN:AN,"&gt;=-0,75",donnée!AN:AN,"&lt;=-0,51",donnée!CE:CE,"oui")</f>
        <v>0</v>
      </c>
      <c r="V38">
        <f>COUNTIFS(donnée!AN:AN,"&gt;=-0,75",donnée!AN:AN,"&lt;=-0,51",donnée!CF:CF,"oui")</f>
        <v>0</v>
      </c>
      <c r="W38" t="s">
        <v>66</v>
      </c>
      <c r="X38">
        <f>COUNTIFS(donnée!AN:AN,"&gt;=-0,75",donnée!AN:AN,"&lt;=-0,51",donnée!CG:CG,"oui")</f>
        <v>0</v>
      </c>
      <c r="Y38">
        <f>COUNTIFS(donnée!AN:AN,"&gt;=-0,75",donnée!AN:AN,"&lt;=-0,51",donnée!CH:CH,"oui")</f>
        <v>0</v>
      </c>
      <c r="Z38">
        <f>COUNTIFS(donnée!AN:AN,"&gt;=-0,75",donnée!AN:AN,"&lt;=-0,51",donnée!CI:CI,"oui")</f>
        <v>0</v>
      </c>
      <c r="AA38">
        <f>COUNTIFS(donnée!AN:AN,"&gt;=-0,75",donnée!AN:AN,"&lt;=-0,51",donnée!CJ:CJ,"oui")</f>
        <v>0</v>
      </c>
      <c r="AB38">
        <f>COUNTIFS(donnée!AN:AN,"&gt;=-0,75",donnée!AN:AN,"&lt;=-0,51",donnée!CK:CK,"oui")</f>
        <v>0</v>
      </c>
      <c r="AD38" t="s">
        <v>66</v>
      </c>
      <c r="AE38">
        <f>COUNTIFS(donnée!AN:AN,"&gt;=-0,75",donnée!AN:AN,"&lt;=-0,51",donnée!CL:CL,"oui")</f>
        <v>0</v>
      </c>
      <c r="AF38">
        <f>COUNTIFS(donnée!AN:AN,"&gt;=-0,75",donnée!AN:AN,"&lt;=-0,51",donnée!CM:CM,"oui")</f>
        <v>0</v>
      </c>
      <c r="AG38">
        <f>COUNTIFS(donnée!AN:AN,"&gt;=-0,75",donnée!AN:AN,"&lt;=-0,51",donnée!CN:CN,"oui")</f>
        <v>0</v>
      </c>
      <c r="AH38">
        <f>COUNTIFS(donnée!AN:AN,"&gt;=-0,75",donnée!AN:AN,"&lt;=-0,51",donnée!CO:CO,"oui")</f>
        <v>0</v>
      </c>
      <c r="AK38" t="s">
        <v>66</v>
      </c>
      <c r="AL38">
        <f>COUNTIFS(donnée!AN:AN,"&gt;=-0,75",donnée!AN:AN,"&lt;=-0,51",donnée!CP:CP,"oui")</f>
        <v>0</v>
      </c>
      <c r="AM38">
        <f>COUNTIFS(donnée!AN:AN,"&gt;=-0,75",donnée!AN:AN,"&lt;=-0,51",donnée!CQ:CQ,"oui")</f>
        <v>0</v>
      </c>
      <c r="AN38">
        <f>COUNTIFS(donnée!AN:AN,"&gt;=-0,75",donnée!AN:AN,"&lt;=-0,51",donnée!CR:CR,"oui")</f>
        <v>0</v>
      </c>
      <c r="AO38">
        <f>COUNTIFS(donnée!AN:AN,"&gt;=-0,75",donnée!AN:AN,"&lt;=-0,51",donnée!CS:CS,"oui")</f>
        <v>0</v>
      </c>
      <c r="AR38" t="s">
        <v>66</v>
      </c>
      <c r="AS38">
        <f>COUNTIFS(donnée!$AN:$AN,"&gt;=-0,75",donnée!$AN:$AN,"&lt;=-0,51",donnée!CT:CT,"oui")</f>
        <v>0</v>
      </c>
      <c r="AT38">
        <f>COUNTIFS(donnée!$AN:$AN,"&gt;=-0,75",donnée!$AN:$AN,"&lt;=-0,51",donnée!CU:CU,"oui")</f>
        <v>0</v>
      </c>
      <c r="AU38">
        <f>COUNTIFS(donnée!$AN:$AN,"&gt;=-0,75",donnée!$AN:$AN,"&lt;=-0,51",donnée!CV:CV,"oui")</f>
        <v>0</v>
      </c>
      <c r="AV38">
        <f>COUNTIFS(donnée!$AN:$AN,"&gt;=-0,75",donnée!$AN:$AN,"&lt;=-0,51",donnée!CW:CW,"oui")</f>
        <v>0</v>
      </c>
      <c r="AW38">
        <f>COUNTIFS(donnée!$AN:$AN,"&gt;=-0,75",donnée!$AN:$AN,"&lt;=-0,51",donnée!CX:CX,"oui")</f>
        <v>0</v>
      </c>
      <c r="AX38">
        <f>COUNTIFS(donnée!$AN:$AN,"&gt;=-0,75",donnée!$AN:$AN,"&lt;=-0,51",donnée!CY:CY,"oui")</f>
        <v>0</v>
      </c>
      <c r="AY38">
        <f>COUNTIFS(donnée!$AN:$AN,"&gt;=-0,75",donnée!$AN:$AN,"&lt;=-0,51",donnée!CZ:CZ,"oui")</f>
        <v>0</v>
      </c>
    </row>
    <row r="39" spans="1:51" x14ac:dyDescent="0.2">
      <c r="A39">
        <f>COUNTIFS(donnée!AN:AN,"&gt;=-1,0",donnée!AN:AN,"&lt;=-0,76")</f>
        <v>0</v>
      </c>
      <c r="B39" t="s">
        <v>67</v>
      </c>
      <c r="C39">
        <f>COUNTIFS(donnée!AN:AN,"&gt;=-1,0",donnée!AN:AN,"&lt;=-0,76",donnée!BO:BO,"oui")</f>
        <v>0</v>
      </c>
      <c r="D39">
        <f>COUNTIFS(donnée!AN:AN,"&gt;=-1,0",donnée!AN:AN,"&lt;=-0,76",donnée!BP:BP,"oui")</f>
        <v>0</v>
      </c>
      <c r="E39">
        <f>COUNTIFS(donnée!AN:AN,"&gt;=-1,0",donnée!AN:AN,"&lt;=-0,76",donnée!BQ:BQ,"oui")</f>
        <v>0</v>
      </c>
      <c r="F39">
        <f>COUNTIFS(donnée!AN:AN,"&gt;=-1,0",donnée!AN:AN,"&lt;=-0,76",donnée!BR:BR,"oui")</f>
        <v>0</v>
      </c>
      <c r="G39">
        <f>COUNTIFS(donnée!AN:AN,"&gt;=-1,0",donnée!AN:AN,"&lt;=-0,76",donnée!BS:BS,"oui")</f>
        <v>0</v>
      </c>
      <c r="H39">
        <f>COUNTIFS(donnée!AN:AN,"&gt;=-1,0",donnée!AN:AN,"&lt;=-0,76",donnée!BT:BT,"oui")</f>
        <v>0</v>
      </c>
      <c r="I39" t="s">
        <v>67</v>
      </c>
      <c r="J39">
        <f>COUNTIFS(donnée!AN:AN,"&gt;=-1,0",donnée!AN:AN,"&lt;=-0,76",donnée!BU:BU,"oui")</f>
        <v>0</v>
      </c>
      <c r="K39">
        <f>COUNTIFS(donnée!AN:AN,"&gt;=-1,0",donnée!AN:AN,"&lt;=-0,76",donnée!BV:BV,"oui")</f>
        <v>0</v>
      </c>
      <c r="L39">
        <f>COUNTIFS(donnée!AN:AN,"&gt;=-1,0",donnée!AN:AN,"&lt;=-0,76",donnée!BW:BW,"oui")</f>
        <v>0</v>
      </c>
      <c r="M39">
        <f>COUNTIFS(donnée!AN:AN,"&gt;=-1,0",donnée!AN:AN,"&lt;=-0,76",donnée!BX:BX,"oui")</f>
        <v>0</v>
      </c>
      <c r="N39">
        <f>COUNTIFS(donnée!AN:AN,"&gt;=-1,0",donnée!AN:AN,"&lt;=-0,76",donnée!BY:BY,"oui")</f>
        <v>0</v>
      </c>
      <c r="O39">
        <f>COUNTIFS(donnée!AN:AN,"&gt;=-1,0",donnée!AS:AS,"&lt;=-0,76",donnée!BZ:BZ,"oui")</f>
        <v>0</v>
      </c>
      <c r="P39" t="s">
        <v>67</v>
      </c>
      <c r="Q39">
        <f>COUNTIFS(donnée!AN:AN,"&gt;=-1,0",donnée!AN:AN,"&lt;=-0,76",donnée!CA:CA,"oui")</f>
        <v>0</v>
      </c>
      <c r="R39">
        <f>COUNTIFS(donnée!AN:AN,"&gt;=-1,0",donnée!AN:AN,"&lt;=-0,76",donnée!CB:CB,"oui")</f>
        <v>0</v>
      </c>
      <c r="S39">
        <f>COUNTIFS(donnée!AN:AN,"&gt;=-1,0",donnée!AN:AN,"&lt;=-0,76",donnée!CC:CC,"oui")</f>
        <v>0</v>
      </c>
      <c r="T39">
        <f>COUNTIFS(donnée!AN:AN,"&gt;=-1,0",donnée!AN:AN,"&lt;=-0,76",donnée!CD:CD,"oui")</f>
        <v>0</v>
      </c>
      <c r="U39">
        <f>COUNTIFS(donnée!AN:AN,"&gt;=-1,0",donnée!AN:AN,"&lt;=-0,76",donnée!CE:CE,"oui")</f>
        <v>0</v>
      </c>
      <c r="V39">
        <f>COUNTIFS(donnée!AN:AN,"&gt;=-1,0",donnée!AN:AN,"&lt;=-0,76",donnée!CF:CF,"oui")</f>
        <v>0</v>
      </c>
      <c r="W39" t="s">
        <v>67</v>
      </c>
      <c r="X39">
        <f>COUNTIFS(donnée!AN:AN,"&gt;=-1,0",donnée!AN:AN,"&lt;=-0,76",donnée!CG:CG,"oui")</f>
        <v>0</v>
      </c>
      <c r="Y39">
        <f>COUNTIFS(donnée!AN:AN,"&gt;=-1,0",donnée!AN:AN,"&lt;=-0,76",donnée!CH:CH,"oui")</f>
        <v>0</v>
      </c>
      <c r="Z39">
        <f>COUNTIFS(donnée!AN:AN,"&gt;=-1,0",donnée!AN:AN,"&lt;=-0,76",donnée!CI:CI,"oui")</f>
        <v>0</v>
      </c>
      <c r="AA39">
        <f>COUNTIFS(donnée!AN:AN,"&gt;=-1,0",donnée!AN:AN,"&lt;=-0,76",donnée!CJ:CJ,"oui")</f>
        <v>0</v>
      </c>
      <c r="AB39">
        <f>COUNTIFS(donnée!AN:AN,"&gt;=-1,0",donnée!AN:AN,"&lt;=-0,76",donnée!CK:CK,"oui")</f>
        <v>0</v>
      </c>
      <c r="AD39" t="s">
        <v>67</v>
      </c>
      <c r="AE39">
        <f>COUNTIFS(donnée!AN:AN,"&gt;=-1,0",donnée!AN:AN,"&lt;=-0,76",donnée!CL:CL,"oui")</f>
        <v>0</v>
      </c>
      <c r="AF39">
        <f>COUNTIFS(donnée!AN:AN,"&gt;=-1,0",donnée!AN:AN,"&lt;=-0,76",donnée!CM:CM,"oui")</f>
        <v>0</v>
      </c>
      <c r="AG39">
        <f>COUNTIFS(donnée!AN:AN,"&gt;=-1,0",donnée!AN:AN,"&lt;=-0,76",donnée!CN:CN,"oui")</f>
        <v>0</v>
      </c>
      <c r="AH39">
        <f>COUNTIFS(donnée!AN:AN,"&gt;=-1,0",donnée!AN:AN,"&lt;=-0,76",donnée!CO:CO,"oui")</f>
        <v>0</v>
      </c>
      <c r="AK39" t="s">
        <v>67</v>
      </c>
      <c r="AL39">
        <f>COUNTIFS(donnée!AN:AN,"&gt;=-1,0",donnée!AN:AN,"&lt;=-0,76",donnée!CP:CP,"oui")</f>
        <v>0</v>
      </c>
      <c r="AM39">
        <f>COUNTIFS(donnée!AN:AN,"&gt;=-1,0",donnée!AN:AN,"&lt;=-0,76",donnée!CQ:CQ,"oui")</f>
        <v>0</v>
      </c>
      <c r="AN39">
        <f>COUNTIFS(donnée!AN:AN,"&gt;=-1,0",donnée!AN:AN,"&lt;=-0,76",donnée!CR:CR,"oui")</f>
        <v>0</v>
      </c>
      <c r="AO39">
        <f>COUNTIFS(donnée!AN:AN,"&gt;=-1,0",donnée!AN:AN,"&lt;=-0,76",donnée!CS:CS,"oui")</f>
        <v>0</v>
      </c>
      <c r="AR39" t="s">
        <v>67</v>
      </c>
      <c r="AS39">
        <f>COUNTIFS(donnée!$AN:$AN,"&gt;=-1,0",donnée!$AN:$AN,"&lt;=-0,76",donnée!CT:CT,"oui")</f>
        <v>0</v>
      </c>
      <c r="AT39">
        <f>COUNTIFS(donnée!$AN:$AN,"&gt;=-1,0",donnée!$AN:$AN,"&lt;=-0,76",donnée!CU:CU,"oui")</f>
        <v>0</v>
      </c>
      <c r="AU39">
        <f>COUNTIFS(donnée!$AN:$AN,"&gt;=-1,0",donnée!$AN:$AN,"&lt;=-0,76",donnée!CV:CV,"oui")</f>
        <v>0</v>
      </c>
      <c r="AV39">
        <f>COUNTIFS(donnée!$AN:$AN,"&gt;=-1,0",donnée!$AN:$AN,"&lt;=-0,76",donnée!CW:CW,"oui")</f>
        <v>0</v>
      </c>
      <c r="AW39">
        <f>COUNTIFS(donnée!$AN:$AN,"&gt;=-1,0",donnée!$AN:$AN,"&lt;=-0,76",donnée!CX:CX,"oui")</f>
        <v>0</v>
      </c>
      <c r="AX39">
        <f>COUNTIFS(donnée!$AN:$AN,"&gt;=-1,0",donnée!$AN:$AN,"&lt;=-0,76",donnée!CY:CY,"oui")</f>
        <v>0</v>
      </c>
      <c r="AY39">
        <f>COUNTIFS(donnée!$AN:$AN,"&gt;=-1,0",donnée!$AN:$AN,"&lt;=-0,76",donnée!CZ:CZ,"oui")</f>
        <v>0</v>
      </c>
    </row>
    <row r="40" spans="1:51" x14ac:dyDescent="0.2">
      <c r="A40">
        <f>COUNTIFS(donnée!AN:AN,"&lt;=-1,0")</f>
        <v>0</v>
      </c>
      <c r="B40" t="s">
        <v>68</v>
      </c>
      <c r="C40">
        <f>COUNTIFS(donnée!AN:AN,"&lt;=-1,0",donnée!BO:BO,"oui")</f>
        <v>0</v>
      </c>
      <c r="D40">
        <f>COUNTIFS(donnée!AN:AN,"&lt;=-1,0",donnée!BP:BP,"oui")</f>
        <v>0</v>
      </c>
      <c r="E40">
        <f>COUNTIFS(donnée!AN:AN,"&lt;=-1,0",donnée!BQ:BQ,"oui")</f>
        <v>0</v>
      </c>
      <c r="F40">
        <f>COUNTIFS(donnée!AN:AN,"&lt;=-1,0",donnée!BR:BR,"oui")</f>
        <v>0</v>
      </c>
      <c r="G40">
        <f>COUNTIFS(donnée!AN:AN,"&lt;=-1,0",donnée!BS:BS,"oui")</f>
        <v>0</v>
      </c>
      <c r="H40">
        <f>COUNTIFS(donnée!AN:AN,"&lt;=-1,0",donnée!BT:BT,"oui")</f>
        <v>0</v>
      </c>
      <c r="I40" t="s">
        <v>68</v>
      </c>
      <c r="J40">
        <f>COUNTIFS(donnée!AN:AN,"&lt;=-1,0",donnée!BU:BU,"oui")</f>
        <v>0</v>
      </c>
      <c r="K40">
        <f>COUNTIFS(donnée!AN:AN,"&lt;=-1,0",donnée!BV:BV,"oui")</f>
        <v>0</v>
      </c>
      <c r="L40">
        <f>COUNTIFS(donnée!AN:AN,"&lt;=-1,0",donnée!BW:BW,"oui")</f>
        <v>0</v>
      </c>
      <c r="M40">
        <f>COUNTIFS(donnée!AN:AN,"&lt;=-1,0",donnée!BX:BX,"oui")</f>
        <v>0</v>
      </c>
      <c r="N40">
        <f>COUNTIFS(donnée!AN:AN,"&lt;=-1,0",donnée!BY:BY,"oui")</f>
        <v>0</v>
      </c>
      <c r="O40">
        <f>COUNTIFS(donnée!AN:AN,"&lt;=-1,0",donnée!BZ:BZ,"oui")</f>
        <v>0</v>
      </c>
      <c r="P40" t="s">
        <v>68</v>
      </c>
      <c r="Q40">
        <f>COUNTIFS(donnée!AN:AN,"&lt;=-1,0",donnée!CA:CA,"oui")</f>
        <v>0</v>
      </c>
      <c r="R40">
        <f>COUNTIFS(donnée!AN:AN,"&lt;=-1,0",donnée!CB:CB,"oui")</f>
        <v>0</v>
      </c>
      <c r="S40">
        <f>COUNTIFS(donnée!AN:AN,"&lt;=-1,0",donnée!CC:CC,"oui")</f>
        <v>0</v>
      </c>
      <c r="T40">
        <f>COUNTIFS(donnée!AN:AN,"&lt;=-1,0",donnée!CD:CD,"oui")</f>
        <v>0</v>
      </c>
      <c r="U40">
        <f>COUNTIFS(donnée!AN:AN,"&lt;=-1,0",donnée!CE:CE,"oui")</f>
        <v>0</v>
      </c>
      <c r="V40">
        <f>COUNTIFS(donnée!AN:AN,"&lt;=-1,0",donnée!CF:CF,"oui")</f>
        <v>0</v>
      </c>
      <c r="W40" t="s">
        <v>68</v>
      </c>
      <c r="X40">
        <f>COUNTIFS(donnée!AN:AN,"&lt;=-1,0",donnée!CG:CG,"oui")</f>
        <v>0</v>
      </c>
      <c r="Y40">
        <f>COUNTIFS(donnée!AN:AN,"&lt;=-1,0",donnée!CH:CH,"oui")</f>
        <v>0</v>
      </c>
      <c r="Z40">
        <f>COUNTIFS(donnée!AN:AN,"&lt;=-1,0",donnée!CI:CI,"oui")</f>
        <v>0</v>
      </c>
      <c r="AA40">
        <f>COUNTIFS(donnée!AN:AN,"&lt;=-1,0",donnée!CJ:CJ,"oui")</f>
        <v>0</v>
      </c>
      <c r="AB40">
        <f>COUNTIFS(donnée!AN:AN,"&lt;=-1,0",donnée!CK:CK,"oui")</f>
        <v>0</v>
      </c>
      <c r="AD40" t="s">
        <v>68</v>
      </c>
      <c r="AE40">
        <f>COUNTIFS(donnée!AN:AN,"&lt;=-1,0",donnée!CL:CL,"oui")</f>
        <v>0</v>
      </c>
      <c r="AF40">
        <f>COUNTIFS(donnée!AN:AN,"&lt;=-1,0",donnée!CM:CM,"oui")</f>
        <v>0</v>
      </c>
      <c r="AG40">
        <f>COUNTIFS(donnée!AN:AN,"&lt;=-1,0",donnée!CN:CN,"oui")</f>
        <v>0</v>
      </c>
      <c r="AH40">
        <f>COUNTIFS(donnée!AN:AN,"&lt;=-1,0",donnée!CO:CO,"oui")</f>
        <v>0</v>
      </c>
      <c r="AK40" t="s">
        <v>68</v>
      </c>
      <c r="AL40">
        <f>COUNTIFS(donnée!AN:AN,"&lt;=-1,0",donnée!CP:CP,"oui")</f>
        <v>0</v>
      </c>
      <c r="AM40">
        <f>COUNTIFS(donnée!AN:AN,"&lt;=-1,0",donnée!CQ:CQ,"oui")</f>
        <v>0</v>
      </c>
      <c r="AN40">
        <f>COUNTIFS(donnée!AN:AN,"&lt;=-1,0",donnée!CR:CR,"oui")</f>
        <v>0</v>
      </c>
      <c r="AO40">
        <f>COUNTIFS(donnée!AN:AN,"&lt;=-1,0",donnée!CS:CS,"oui")</f>
        <v>0</v>
      </c>
      <c r="AR40" t="s">
        <v>68</v>
      </c>
      <c r="AS40">
        <f>COUNTIFS(donnée!$AN:$AN,"&lt;=-1,0",donnée!CT:CT,"oui")</f>
        <v>0</v>
      </c>
      <c r="AT40">
        <f>COUNTIFS(donnée!$AN:$AN,"&lt;=-1,0",donnée!CU:CU,"oui")</f>
        <v>0</v>
      </c>
      <c r="AU40">
        <f>COUNTIFS(donnée!$AN:$AN,"&lt;=-1,0",donnée!CV:CV,"oui")</f>
        <v>0</v>
      </c>
      <c r="AV40">
        <f>COUNTIFS(donnée!$AN:$AN,"&lt;=-1,0",donnée!CW:CW,"oui")</f>
        <v>0</v>
      </c>
      <c r="AW40">
        <f>COUNTIFS(donnée!$AN:$AN,"&lt;=-1,0",donnée!CX:CX,"oui")</f>
        <v>0</v>
      </c>
      <c r="AX40">
        <f>COUNTIFS(donnée!$AN:$AN,"&lt;=-1,0",donnée!CY:CY,"oui")</f>
        <v>0</v>
      </c>
      <c r="AY40">
        <f>COUNTIFS(donnée!$AN:$AN,"&lt;=-1,0",donnée!CZ:CZ,"oui")</f>
        <v>0</v>
      </c>
    </row>
    <row r="43" spans="1:51" ht="19" x14ac:dyDescent="0.25">
      <c r="I43" s="2"/>
      <c r="P43" s="2"/>
      <c r="W43" s="2"/>
      <c r="AD43" s="2"/>
      <c r="AK43" s="2"/>
      <c r="AR43" s="2"/>
    </row>
    <row r="56" spans="2:52" ht="15.75" customHeight="1" thickBot="1" x14ac:dyDescent="0.25"/>
    <row r="57" spans="2:52" ht="49" thickBot="1" x14ac:dyDescent="0.25">
      <c r="C57" s="164" t="s">
        <v>40</v>
      </c>
      <c r="D57" s="165" t="s">
        <v>46</v>
      </c>
      <c r="E57" s="165" t="s">
        <v>47</v>
      </c>
      <c r="F57" s="165" t="s">
        <v>48</v>
      </c>
      <c r="G57" s="165" t="s">
        <v>49</v>
      </c>
      <c r="H57" s="165" t="s">
        <v>50</v>
      </c>
      <c r="J57" s="205" t="s">
        <v>116</v>
      </c>
      <c r="K57" s="205" t="s">
        <v>120</v>
      </c>
      <c r="L57" s="205" t="s">
        <v>121</v>
      </c>
      <c r="M57" s="205" t="s">
        <v>117</v>
      </c>
      <c r="N57" s="205" t="s">
        <v>118</v>
      </c>
      <c r="O57" s="205" t="s">
        <v>119</v>
      </c>
      <c r="Q57" s="206" t="s">
        <v>105</v>
      </c>
      <c r="R57" s="206" t="s">
        <v>112</v>
      </c>
      <c r="S57" s="206" t="s">
        <v>123</v>
      </c>
      <c r="T57" s="206" t="s">
        <v>114</v>
      </c>
      <c r="U57" s="206" t="s">
        <v>115</v>
      </c>
      <c r="V57" s="206" t="s">
        <v>106</v>
      </c>
      <c r="X57" s="210" t="s">
        <v>107</v>
      </c>
      <c r="Y57" s="207" t="s">
        <v>108</v>
      </c>
      <c r="Z57" s="207" t="s">
        <v>109</v>
      </c>
      <c r="AA57" s="207" t="s">
        <v>110</v>
      </c>
      <c r="AB57" s="209" t="s">
        <v>122</v>
      </c>
      <c r="AC57" s="211"/>
      <c r="AE57" s="212" t="s">
        <v>124</v>
      </c>
      <c r="AF57" s="208" t="s">
        <v>125</v>
      </c>
      <c r="AG57" s="208" t="s">
        <v>126</v>
      </c>
      <c r="AH57" s="213" t="s">
        <v>127</v>
      </c>
      <c r="AI57" s="211"/>
      <c r="AJ57" s="211"/>
      <c r="AL57" s="89" t="s">
        <v>128</v>
      </c>
      <c r="AM57" s="89" t="s">
        <v>129</v>
      </c>
      <c r="AN57" s="89" t="s">
        <v>131</v>
      </c>
      <c r="AO57" s="89" t="s">
        <v>130</v>
      </c>
      <c r="AP57" s="211"/>
      <c r="AQ57" s="211"/>
      <c r="AS57" s="207" t="s">
        <v>52</v>
      </c>
      <c r="AT57" s="207" t="s">
        <v>57</v>
      </c>
      <c r="AU57" s="207" t="s">
        <v>51</v>
      </c>
      <c r="AV57" s="207" t="s">
        <v>53</v>
      </c>
      <c r="AW57" s="207" t="s">
        <v>54</v>
      </c>
      <c r="AX57" s="207" t="s">
        <v>55</v>
      </c>
      <c r="AY57" s="209" t="s">
        <v>104</v>
      </c>
      <c r="AZ57" s="211"/>
    </row>
    <row r="58" spans="2:52" ht="19" x14ac:dyDescent="0.25">
      <c r="B58" s="2" t="s">
        <v>26</v>
      </c>
      <c r="I58" s="2" t="s">
        <v>26</v>
      </c>
      <c r="P58" s="2" t="s">
        <v>26</v>
      </c>
      <c r="W58" s="2" t="s">
        <v>26</v>
      </c>
      <c r="AD58" s="2" t="s">
        <v>26</v>
      </c>
      <c r="AK58" s="2" t="s">
        <v>26</v>
      </c>
      <c r="AR58" s="2" t="s">
        <v>26</v>
      </c>
    </row>
    <row r="59" spans="2:52" x14ac:dyDescent="0.2">
      <c r="B59" t="s">
        <v>60</v>
      </c>
      <c r="C59">
        <f>COUNTIFS(donnée!$AQ:$AQ,"&gt;=1,0",donnée!BO:BO,"oui")</f>
        <v>0</v>
      </c>
      <c r="D59">
        <f>COUNTIFS(donnée!$AQ:$AQ,"&gt;=1,0",donnée!BP:BP,"oui")</f>
        <v>0</v>
      </c>
      <c r="E59">
        <f>COUNTIFS(donnée!$AQ:$AQ,"&gt;=1,0",donnée!BQ:BQ,"oui")</f>
        <v>0</v>
      </c>
      <c r="F59">
        <f>COUNTIFS(donnée!$AQ:$AQ,"&gt;=1,0",donnée!BR:BR,"oui")</f>
        <v>0</v>
      </c>
      <c r="G59">
        <f>COUNTIFS(donnée!$AQ:$AQ,"&gt;=1,0",donnée!BS:BS,"oui")</f>
        <v>0</v>
      </c>
      <c r="H59">
        <f>COUNTIFS(donnée!$AQ:$AQ,"&gt;=1,0",donnée!BT:BT,"oui")</f>
        <v>0</v>
      </c>
      <c r="I59" t="s">
        <v>60</v>
      </c>
      <c r="J59">
        <f>COUNTIFS(donnée!$AQ:$AQ,"&gt;=1,0",donnée!BU:BU,"oui")</f>
        <v>0</v>
      </c>
      <c r="K59">
        <f>COUNTIFS(donnée!$AQ:$AQ,"&gt;=1,0",donnée!BV:BV,"oui")</f>
        <v>0</v>
      </c>
      <c r="L59">
        <f>COUNTIFS(donnée!$AQ:$AQ,"&gt;=1,0",donnée!BW:BW,"oui")</f>
        <v>0</v>
      </c>
      <c r="M59">
        <f>COUNTIFS(donnée!$AQ:$AQ,"&gt;=1,0",donnée!BX:BX,"oui")</f>
        <v>0</v>
      </c>
      <c r="N59">
        <f>COUNTIFS(donnée!$AQ:$AQ,"&gt;=1,0",donnée!BY:BY,"oui")</f>
        <v>0</v>
      </c>
      <c r="O59">
        <f>COUNTIFS(donnée!$AQ:$AQ,"&gt;=1,0",donnée!BZ:BZ,"oui")</f>
        <v>0</v>
      </c>
      <c r="P59" t="s">
        <v>60</v>
      </c>
      <c r="Q59">
        <f>COUNTIFS(donnée!$AQ:$AQ,"&gt;=1,0",donnée!CA:CA,"oui")</f>
        <v>0</v>
      </c>
      <c r="R59">
        <f>COUNTIFS(donnée!$AQ:$AQ,"&gt;=1,0",donnée!CB:CB,"oui")</f>
        <v>0</v>
      </c>
      <c r="S59">
        <f>COUNTIFS(donnée!$AQ:$AQ,"&gt;=1,0",donnée!CC:CC,"oui")</f>
        <v>0</v>
      </c>
      <c r="T59">
        <f>COUNTIFS(donnée!$AQ:$AQ,"&gt;=1,0",donnée!CD:CD,"oui")</f>
        <v>0</v>
      </c>
      <c r="U59">
        <f>COUNTIFS(donnée!$AQ:$AQ,"&gt;=1,0",donnée!CE:CE,"oui")</f>
        <v>0</v>
      </c>
      <c r="V59">
        <f>COUNTIFS(donnée!$AQ:$AQ,"&gt;=1,0",donnée!CF:CF,"oui")</f>
        <v>0</v>
      </c>
      <c r="W59" t="s">
        <v>60</v>
      </c>
      <c r="X59">
        <f>COUNTIFS(donnée!$AQ:$AQ,"&gt;=1,0",donnée!CG:CG,"oui")</f>
        <v>0</v>
      </c>
      <c r="Y59">
        <f>COUNTIFS(donnée!$AQ:$AQ,"&gt;=1,0",donnée!CH:CH,"oui")</f>
        <v>0</v>
      </c>
      <c r="Z59">
        <f>COUNTIFS(donnée!$AQ:$AQ,"&gt;=1,0",donnée!CI:CI,"oui")</f>
        <v>0</v>
      </c>
      <c r="AA59">
        <f>COUNTIFS(donnée!$AQ:$AQ,"&gt;=1,0",donnée!CJ:CJ,"oui")</f>
        <v>0</v>
      </c>
      <c r="AB59">
        <f>COUNTIFS(donnée!$AQ:$AQ,"&gt;=1,0",donnée!CK:CK,"oui")</f>
        <v>0</v>
      </c>
      <c r="AD59" t="s">
        <v>60</v>
      </c>
      <c r="AE59">
        <f>COUNTIFS(donnée!$AQ:$AQ,"&gt;=1,0",donnée!CL:CL,"oui")</f>
        <v>0</v>
      </c>
      <c r="AF59">
        <f>COUNTIFS(donnée!$AQ:$AQ,"&gt;=1,0",donnée!CM:CM,"oui")</f>
        <v>0</v>
      </c>
      <c r="AG59">
        <f>COUNTIFS(donnée!$AQ:$AQ,"&gt;=1,0",donnée!CN:CN,"oui")</f>
        <v>0</v>
      </c>
      <c r="AH59">
        <f>COUNTIFS(donnée!$AQ:$AQ,"&gt;=1,0",donnée!CO:CO,"oui")</f>
        <v>0</v>
      </c>
      <c r="AK59" t="s">
        <v>60</v>
      </c>
      <c r="AL59">
        <f>COUNTIFS(donnée!$AQ:$AQ,"&gt;=1,0",donnée!CP:CP,"oui")</f>
        <v>0</v>
      </c>
      <c r="AM59">
        <f>COUNTIFS(donnée!$AQ:$AQ,"&gt;=1,0",donnée!CQ:CQ,"oui")</f>
        <v>0</v>
      </c>
      <c r="AN59">
        <f>COUNTIFS(donnée!$AQ:$AQ,"&gt;=1,0",donnée!CR:CR,"oui")</f>
        <v>0</v>
      </c>
      <c r="AO59">
        <f>COUNTIFS(donnée!$AQ:$AQ,"&gt;=1,0",donnée!CS:CS,"oui")</f>
        <v>0</v>
      </c>
      <c r="AR59" t="s">
        <v>60</v>
      </c>
      <c r="AS59">
        <f>COUNTIFS(donnée!$AQ:$AQ,"&gt;=1,0",donnée!CT:CT,"oui")</f>
        <v>0</v>
      </c>
      <c r="AT59">
        <f>COUNTIFS(donnée!$AQ:$AQ,"&gt;=1,0",donnée!CU:CU,"oui")</f>
        <v>0</v>
      </c>
      <c r="AU59">
        <f>COUNTIFS(donnée!$AQ:$AQ,"&gt;=1,0",donnée!CV:CV,"oui")</f>
        <v>0</v>
      </c>
      <c r="AV59">
        <f>COUNTIFS(donnée!$AQ:$AQ,"&gt;=1,0",donnée!CW:CW,"oui")</f>
        <v>0</v>
      </c>
      <c r="AW59">
        <f>COUNTIFS(donnée!$AQ:$AQ,"&gt;=1,0",donnée!CX:CX,"oui")</f>
        <v>0</v>
      </c>
      <c r="AX59">
        <f>COUNTIFS(donnée!$AQ:$AQ,"&gt;=1,0",donnée!CY:CY,"oui")</f>
        <v>0</v>
      </c>
      <c r="AY59">
        <f>COUNTIFS(donnée!$AQ:$AQ,"&gt;=1,0",donnée!CZ:CZ,"oui")</f>
        <v>0</v>
      </c>
    </row>
    <row r="60" spans="2:52" x14ac:dyDescent="0.2">
      <c r="B60" t="s">
        <v>61</v>
      </c>
      <c r="C60">
        <f>COUNTIFS(donnée!$AQ:$AQ,"&gt;=0,76",donnée!$AQ:$AQ,"&lt;=1,0",donnée!BO:BO,"oui")</f>
        <v>0</v>
      </c>
      <c r="D60">
        <f>COUNTIFS(donnée!$AQ:$AQ,"&gt;=0,76",donnée!$AQ:$AQ,"&lt;=1,0",donnée!BP:BP,"oui")</f>
        <v>0</v>
      </c>
      <c r="E60">
        <f>COUNTIFS(donnée!$AQ:$AQ,"&gt;=0,76",donnée!$AQ:$AQ,"&lt;=1,0",donnée!BQ:BQ,"oui")</f>
        <v>0</v>
      </c>
      <c r="F60">
        <f>COUNTIFS(donnée!$AQ:$AQ,"&gt;=0,76",donnée!$AQ:$AQ,"&lt;=1,0",donnée!BR:BR,"oui")</f>
        <v>0</v>
      </c>
      <c r="G60">
        <f>COUNTIFS(donnée!$AQ:$AQ,"&gt;=0,76",donnée!$AQ:$AQ,"&lt;=1,0",donnée!BS:BS,"oui")</f>
        <v>0</v>
      </c>
      <c r="H60">
        <f>COUNTIFS(donnée!$AQ:$AQ,"&gt;=0,76",donnée!$AQ:$AQ,"&lt;=1,0",donnée!BT:BT,"oui")</f>
        <v>0</v>
      </c>
      <c r="I60" t="s">
        <v>61</v>
      </c>
      <c r="J60">
        <f>COUNTIFS(donnée!$AQ:$AQ,"&gt;=0,76",donnée!$AQ:$AQ,"&lt;=1,0",donnée!BU:BU,"oui")</f>
        <v>0</v>
      </c>
      <c r="K60">
        <f>COUNTIFS(donnée!$AQ:$AQ,"&gt;=0,76",donnée!$AQ:$AQ,"&lt;=1,0",donnée!BV:BV,"oui")</f>
        <v>0</v>
      </c>
      <c r="L60">
        <f>COUNTIFS(donnée!$AQ:$AQ,"&gt;=0,76",donnée!$AQ:$AQ,"&lt;=1,0",donnée!BW:BW,"oui")</f>
        <v>0</v>
      </c>
      <c r="M60">
        <f>COUNTIFS(donnée!$AQ:$AQ,"&gt;=0,76",donnée!$AQ:$AQ,"&lt;=1,0",donnée!BX:BX,"oui")</f>
        <v>0</v>
      </c>
      <c r="N60">
        <f>COUNTIFS(donnée!$AQ:$AQ,"&gt;=0,76",donnée!$AQ:$AQ,"&lt;=1,0",donnée!BY:BY,"oui")</f>
        <v>0</v>
      </c>
      <c r="O60">
        <f>COUNTIFS(donnée!$AQ:$AQ,"&gt;=0,76",donnée!$AQ:$AQ,"&lt;=1,0",donnée!BZ:BZ,"oui")</f>
        <v>0</v>
      </c>
      <c r="P60" t="s">
        <v>61</v>
      </c>
      <c r="Q60">
        <f>COUNTIFS(donnée!$AQ:$AQ,"&gt;=0,76",donnée!$AQ:$AQ,"&lt;=1,0",donnée!CA:CA,"oui")</f>
        <v>0</v>
      </c>
      <c r="R60">
        <f>COUNTIFS(donnée!$AQ:$AQ,"&gt;=0,76",donnée!$AQ:$AQ,"&lt;=1,0",donnée!CB:CB,"oui")</f>
        <v>0</v>
      </c>
      <c r="S60">
        <f>COUNTIFS(donnée!$AQ:$AQ,"&gt;=0,76",donnée!$AQ:$AQ,"&lt;=1,0",donnée!CC:CC,"oui")</f>
        <v>0</v>
      </c>
      <c r="T60">
        <f>COUNTIFS(donnée!$AQ:$AQ,"&gt;=0,76",donnée!$AQ:$AQ,"&lt;=1,0",donnée!CD:CD,"oui")</f>
        <v>0</v>
      </c>
      <c r="U60">
        <f>COUNTIFS(donnée!$AQ:$AQ,"&gt;=0,76",donnée!$AQ:$AQ,"&lt;=1,0",donnée!CE:CE,"oui")</f>
        <v>0</v>
      </c>
      <c r="V60">
        <f>COUNTIFS(donnée!$AQ:$AQ,"&gt;=0,76",donnée!$AQ:$AQ,"&lt;=1,0",donnée!CF:CF,"oui")</f>
        <v>0</v>
      </c>
      <c r="W60" t="s">
        <v>61</v>
      </c>
      <c r="X60">
        <f>COUNTIFS(donnée!$AQ:$AQ,"&gt;=0,76",donnée!$AQ:$AQ,"&lt;=1,0",donnée!CG:CG,"oui")</f>
        <v>0</v>
      </c>
      <c r="Y60">
        <f>COUNTIFS(donnée!$AQ:$AQ,"&gt;=0,76",donnée!$AQ:$AQ,"&lt;=1,0",donnée!CH:CH,"oui")</f>
        <v>0</v>
      </c>
      <c r="Z60">
        <f>COUNTIFS(donnée!$AQ:$AQ,"&gt;=0,76",donnée!$AQ:$AQ,"&lt;=1,0",donnée!CI:CI,"oui")</f>
        <v>0</v>
      </c>
      <c r="AA60">
        <f>COUNTIFS(donnée!$AQ:$AQ,"&gt;=0,76",donnée!$AQ:$AQ,"&lt;=1,0",donnée!CJ:CJ,"oui")</f>
        <v>0</v>
      </c>
      <c r="AB60">
        <f>COUNTIFS(donnée!$AQ:$AQ,"&gt;=0,76",donnée!$AQ:$AQ,"&lt;=1,0",donnée!CK:CK,"oui")</f>
        <v>0</v>
      </c>
      <c r="AD60" t="s">
        <v>61</v>
      </c>
      <c r="AE60">
        <f>COUNTIFS(donnée!$AQ:$AQ,"&gt;=0,76",donnée!$AQ:$AQ,"&lt;=1,0",donnée!CL:CL,"oui")</f>
        <v>0</v>
      </c>
      <c r="AF60">
        <f>COUNTIFS(donnée!$AQ:$AQ,"&gt;=0,76",donnée!$AQ:$AQ,"&lt;=1,0",donnée!CM:CM,"oui")</f>
        <v>0</v>
      </c>
      <c r="AG60">
        <f>COUNTIFS(donnée!$AQ:$AQ,"&gt;=0,76",donnée!$AQ:$AQ,"&lt;=1,0",donnée!CN:CN,"oui")</f>
        <v>0</v>
      </c>
      <c r="AH60">
        <f>COUNTIFS(donnée!$AQ:$AQ,"&gt;=0,76",donnée!$AQ:$AQ,"&lt;=1,0",donnée!CO:CO,"oui")</f>
        <v>0</v>
      </c>
      <c r="AK60" t="s">
        <v>61</v>
      </c>
      <c r="AL60">
        <f>COUNTIFS(donnée!$AQ:$AQ,"&gt;=0,76",donnée!$AQ:$AQ,"&lt;=1,0",donnée!CP:CP,"oui")</f>
        <v>0</v>
      </c>
      <c r="AM60">
        <f>COUNTIFS(donnée!$AQ:$AQ,"&gt;=0,76",donnée!$AQ:$AQ,"&lt;=1,0",donnée!CQ:CQ,"oui")</f>
        <v>0</v>
      </c>
      <c r="AN60">
        <f>COUNTIFS(donnée!$AQ:$AQ,"&gt;=0,76",donnée!$AQ:$AQ,"&lt;=1,0",donnée!CR:CR,"oui")</f>
        <v>0</v>
      </c>
      <c r="AO60">
        <f>COUNTIFS(donnée!$AQ:$AQ,"&gt;=0,76",donnée!$AQ:$AQ,"&lt;=1,0",donnée!CS:CS,"oui")</f>
        <v>0</v>
      </c>
      <c r="AR60" t="s">
        <v>61</v>
      </c>
      <c r="AS60">
        <f>COUNTIFS(donnée!$AQ:$AQ,"&gt;=0,76",donnée!$AQ:$AQ,"&lt;=1,0",donnée!CT:CT,"oui")</f>
        <v>0</v>
      </c>
      <c r="AT60">
        <f>COUNTIFS(donnée!$AQ:$AQ,"&gt;=0,76",donnée!$AQ:$AQ,"&lt;=1,0",donnée!CU:CU,"oui")</f>
        <v>0</v>
      </c>
      <c r="AU60">
        <f>COUNTIFS(donnée!$AQ:$AQ,"&gt;=0,76",donnée!$AQ:$AQ,"&lt;=1,0",donnée!CV:CV,"oui")</f>
        <v>0</v>
      </c>
      <c r="AV60">
        <f>COUNTIFS(donnée!$AQ:$AQ,"&gt;=0,76",donnée!$AQ:$AQ,"&lt;=1,0",donnée!CW:CW,"oui")</f>
        <v>0</v>
      </c>
      <c r="AW60">
        <f>COUNTIFS(donnée!$AQ:$AQ,"&gt;=0,76",donnée!$AQ:$AQ,"&lt;=1,0",donnée!CX:CX,"oui")</f>
        <v>0</v>
      </c>
      <c r="AX60">
        <f>COUNTIFS(donnée!$AQ:$AQ,"&gt;=0,76",donnée!$AQ:$AQ,"&lt;=1,0",donnée!CY:CY,"oui")</f>
        <v>0</v>
      </c>
      <c r="AY60">
        <f>COUNTIFS(donnée!$AQ:$AQ,"&gt;=0,76",donnée!$AQ:$AQ,"&lt;=1,0",donnée!CZ:CZ,"oui")</f>
        <v>0</v>
      </c>
    </row>
    <row r="61" spans="2:52" x14ac:dyDescent="0.2">
      <c r="B61" t="s">
        <v>62</v>
      </c>
      <c r="C61">
        <f>COUNTIFS(donnée!$AQ:$AQ,"&gt;=+0,51",donnée!$AQ:$AQ,"&lt;=+0,75",donnée!BO:BO,"oui")</f>
        <v>0</v>
      </c>
      <c r="D61">
        <f>COUNTIFS(donnée!$AQ:$AQ,"&gt;=+0,51",donnée!$AQ:$AQ,"&lt;=+0,75",donnée!BP:BP,"oui")</f>
        <v>0</v>
      </c>
      <c r="E61">
        <f>COUNTIFS(donnée!$AQ:$AQ,"&gt;=+0,51",donnée!$AQ:$AQ,"&lt;=+0,75",donnée!BQ:BQ,"oui")</f>
        <v>0</v>
      </c>
      <c r="F61">
        <f>COUNTIFS(donnée!$AQ:$AQ,"&gt;=+0,51",donnée!$AQ:$AQ,"&lt;=+0,75",donnée!BR:BR,"oui")</f>
        <v>0</v>
      </c>
      <c r="G61">
        <f>COUNTIFS(donnée!$AQ:$AQ,"&gt;=+0,51",donnée!$AQ:$AQ,"&lt;=+0,75",donnée!BS:BS,"oui")</f>
        <v>0</v>
      </c>
      <c r="H61">
        <f>COUNTIFS(donnée!$AQ:$AQ,"&gt;=+0,51",donnée!$AQ:$AQ,"&lt;=+0,75",donnée!BT:BT,"oui")</f>
        <v>0</v>
      </c>
      <c r="I61" t="s">
        <v>62</v>
      </c>
      <c r="J61">
        <f>COUNTIFS(donnée!$AQ:$AQ,"&gt;=+0,51",donnée!$AQ:$AQ,"&lt;=+0,75",donnée!BU:BU,"oui")</f>
        <v>0</v>
      </c>
      <c r="K61">
        <f>COUNTIFS(donnée!$AQ:$AQ,"&gt;=+0,51",donnée!$AQ:$AQ,"&lt;=+0,75",donnée!BV:BV,"oui")</f>
        <v>0</v>
      </c>
      <c r="L61">
        <f>COUNTIFS(donnée!$AQ:$AQ,"&gt;=+0,51",donnée!$AQ:$AQ,"&lt;=+0,75",donnée!BW:BW,"oui")</f>
        <v>0</v>
      </c>
      <c r="M61">
        <f>COUNTIFS(donnée!$AQ:$AQ,"&gt;=+0,51",donnée!$AQ:$AQ,"&lt;=+0,75",donnée!BX:BX,"oui")</f>
        <v>0</v>
      </c>
      <c r="N61">
        <f>COUNTIFS(donnée!$AQ:$AQ,"&gt;=+0,51",donnée!$AQ:$AQ,"&lt;=+0,75",donnée!BY:BY,"oui")</f>
        <v>0</v>
      </c>
      <c r="O61">
        <f>COUNTIFS(donnée!$AQ:$AQ,"&gt;=+0,51",donnée!$AQ:$AQ,"&lt;=+0,75",donnée!BZ:BZ,"oui")</f>
        <v>0</v>
      </c>
      <c r="P61" t="s">
        <v>62</v>
      </c>
      <c r="Q61">
        <f>COUNTIFS(donnée!$AQ:$AQ,"&gt;=+0,51",donnée!$AQ:$AQ,"&lt;=+0,75",donnée!CA:CA,"oui")</f>
        <v>0</v>
      </c>
      <c r="R61">
        <f>COUNTIFS(donnée!$AQ:$AQ,"&gt;=+0,51",donnée!$AQ:$AQ,"&lt;=+0,75",donnée!CB:CB,"oui")</f>
        <v>0</v>
      </c>
      <c r="S61">
        <f>COUNTIFS(donnée!$AQ:$AQ,"&gt;=+0,51",donnée!$AQ:$AQ,"&lt;=+0,75",donnée!CC:CC,"oui")</f>
        <v>0</v>
      </c>
      <c r="T61">
        <f>COUNTIFS(donnée!$AQ:$AQ,"&gt;=+0,51",donnée!$AQ:$AQ,"&lt;=+0,75",donnée!CD:CD,"oui")</f>
        <v>0</v>
      </c>
      <c r="U61">
        <f>COUNTIFS(donnée!$AQ:$AQ,"&gt;=+0,51",donnée!$AQ:$AQ,"&lt;=+0,75",donnée!CE:CE,"oui")</f>
        <v>0</v>
      </c>
      <c r="V61">
        <f>COUNTIFS(donnée!$AQ:$AQ,"&gt;=+0,51",donnée!$AQ:$AQ,"&lt;=+0,75",donnée!CF:CF,"oui")</f>
        <v>0</v>
      </c>
      <c r="W61" t="s">
        <v>62</v>
      </c>
      <c r="X61">
        <f>COUNTIFS(donnée!$AQ:$AQ,"&gt;=+0,51",donnée!$AQ:$AQ,"&lt;=+0,75",donnée!CG:CG,"oui")</f>
        <v>0</v>
      </c>
      <c r="Y61">
        <f>COUNTIFS(donnée!$AQ:$AQ,"&gt;=+0,51",donnée!$AQ:$AQ,"&lt;=+0,75",donnée!CH:CH,"oui")</f>
        <v>0</v>
      </c>
      <c r="Z61">
        <f>COUNTIFS(donnée!$AQ:$AQ,"&gt;=+0,51",donnée!$AQ:$AQ,"&lt;=+0,75",donnée!CI:CI,"oui")</f>
        <v>0</v>
      </c>
      <c r="AA61">
        <f>COUNTIFS(donnée!$AQ:$AQ,"&gt;=+0,51",donnée!$AQ:$AQ,"&lt;=+0,75",donnée!CJ:CJ,"oui")</f>
        <v>0</v>
      </c>
      <c r="AB61">
        <f>COUNTIFS(donnée!$AQ:$AQ,"&gt;=+0,51",donnée!$AQ:$AQ,"&lt;=+0,75",donnée!CK:CK,"oui")</f>
        <v>0</v>
      </c>
      <c r="AD61" t="s">
        <v>62</v>
      </c>
      <c r="AE61">
        <f>COUNTIFS(donnée!$AQ:$AQ,"&gt;=+0,51",donnée!$AQ:$AQ,"&lt;=+0,75",donnée!CL:CL,"oui")</f>
        <v>0</v>
      </c>
      <c r="AF61">
        <f>COUNTIFS(donnée!$AQ:$AQ,"&gt;=+0,51",donnée!$AQ:$AQ,"&lt;=+0,75",donnée!CM:CM,"oui")</f>
        <v>0</v>
      </c>
      <c r="AG61">
        <f>COUNTIFS(donnée!$AQ:$AQ,"&gt;=+0,51",donnée!$AQ:$AQ,"&lt;=+0,75",donnée!CN:CN,"oui")</f>
        <v>0</v>
      </c>
      <c r="AH61">
        <f>COUNTIFS(donnée!$AQ:$AQ,"&gt;=+0,51",donnée!$AQ:$AQ,"&lt;=+0,75",donnée!CO:CO,"oui")</f>
        <v>0</v>
      </c>
      <c r="AK61" t="s">
        <v>62</v>
      </c>
      <c r="AL61">
        <f>COUNTIFS(donnée!$AQ:$AQ,"&gt;=+0,51",donnée!$AQ:$AQ,"&lt;=+0,75",donnée!CP:CP,"oui")</f>
        <v>0</v>
      </c>
      <c r="AM61">
        <f>COUNTIFS(donnée!$AQ:$AQ,"&gt;=+0,51",donnée!$AQ:$AQ,"&lt;=+0,75",donnée!CQ:CQ,"oui")</f>
        <v>0</v>
      </c>
      <c r="AN61">
        <f>COUNTIFS(donnée!$AQ:$AQ,"&gt;=+0,51",donnée!$AQ:$AQ,"&lt;=+0,75",donnée!CR:CR,"oui")</f>
        <v>0</v>
      </c>
      <c r="AO61">
        <f>COUNTIFS(donnée!$AQ:$AQ,"&gt;=+0,51",donnée!$AQ:$AQ,"&lt;=+0,75",donnée!CS:CS,"oui")</f>
        <v>0</v>
      </c>
      <c r="AR61" t="s">
        <v>62</v>
      </c>
      <c r="AS61">
        <f>COUNTIFS(donnée!$AQ:$AQ,"&gt;=+0,51",donnée!$AQ:$AQ,"&lt;=+0,75",donnée!CT:CT,"oui")</f>
        <v>0</v>
      </c>
      <c r="AT61">
        <f>COUNTIFS(donnée!$AQ:$AQ,"&gt;=+0,51",donnée!$AQ:$AQ,"&lt;=+0,75",donnée!CU:CU,"oui")</f>
        <v>0</v>
      </c>
      <c r="AU61">
        <f>COUNTIFS(donnée!$AQ:$AQ,"&gt;=+0,51",donnée!$AQ:$AQ,"&lt;=+0,75",donnée!CV:CV,"oui")</f>
        <v>0</v>
      </c>
      <c r="AV61">
        <f>COUNTIFS(donnée!$AQ:$AQ,"&gt;=+0,51",donnée!$AQ:$AQ,"&lt;=+0,75",donnée!CW:CW,"oui")</f>
        <v>0</v>
      </c>
      <c r="AW61">
        <f>COUNTIFS(donnée!$AQ:$AQ,"&gt;=+0,51",donnée!$AQ:$AQ,"&lt;=+0,75",donnée!CX:CX,"oui")</f>
        <v>0</v>
      </c>
      <c r="AX61">
        <f>COUNTIFS(donnée!$AQ:$AQ,"&gt;=+0,51",donnée!$AQ:$AQ,"&lt;=+0,75",donnée!CY:CY,"oui")</f>
        <v>0</v>
      </c>
      <c r="AY61">
        <f>COUNTIFS(donnée!$AQ:$AQ,"&gt;=+0,51",donnée!$AQ:$AQ,"&lt;=+0,75",donnée!CZ:CZ,"oui")</f>
        <v>0</v>
      </c>
    </row>
    <row r="62" spans="2:52" x14ac:dyDescent="0.2">
      <c r="B62" t="s">
        <v>63</v>
      </c>
      <c r="C62">
        <f>COUNTIFS(donnée!$AQ:$AQ,"&gt;=+0,26",donnée!$AQ:$AQ,"&lt;=+0,50",donnée!BO:BO,"oui")</f>
        <v>0</v>
      </c>
      <c r="D62">
        <f>COUNTIFS(donnée!$AQ:$AQ,"&gt;=+0,26",donnée!$AQ:$AQ,"&lt;=+0,50",donnée!BP:BP,"oui")</f>
        <v>0</v>
      </c>
      <c r="E62">
        <f>COUNTIFS(donnée!$AQ:$AQ,"&gt;=+0,26",donnée!$AQ:$AQ,"&lt;=+0,50",donnée!BQ:BQ,"oui")</f>
        <v>0</v>
      </c>
      <c r="F62">
        <f>COUNTIFS(donnée!$AQ:$AQ,"&gt;=+0,26",donnée!$AQ:$AQ,"&lt;=+0,50",donnée!BR:BR,"oui")</f>
        <v>0</v>
      </c>
      <c r="G62">
        <f>COUNTIFS(donnée!$AQ:$AQ,"&gt;=+0,26",donnée!$AQ:$AQ,"&lt;=+0,50",donnée!BS:BS,"oui")</f>
        <v>0</v>
      </c>
      <c r="H62">
        <f>COUNTIFS(donnée!$AQ:$AQ,"&gt;=+0,26",donnée!$AQ:$AQ,"&lt;=+0,50",donnée!BT:BT,"oui")</f>
        <v>0</v>
      </c>
      <c r="I62" t="s">
        <v>63</v>
      </c>
      <c r="J62">
        <f>COUNTIFS(donnée!$AQ:$AQ,"&gt;=+0,26",donnée!$AQ:$AQ,"&lt;=+0,50",donnée!BU:BU,"oui")</f>
        <v>0</v>
      </c>
      <c r="K62">
        <f>COUNTIFS(donnée!$AQ:$AQ,"&gt;=+0,26",donnée!$AQ:$AQ,"&lt;=+0,50",donnée!BV:BV,"oui")</f>
        <v>0</v>
      </c>
      <c r="L62">
        <f>COUNTIFS(donnée!$AQ:$AQ,"&gt;=+0,26",donnée!$AQ:$AQ,"&lt;=+0,50",donnée!BW:BW,"oui")</f>
        <v>0</v>
      </c>
      <c r="M62">
        <f>COUNTIFS(donnée!$AQ:$AQ,"&gt;=+0,26",donnée!$AQ:$AQ,"&lt;=+0,50",donnée!BX:BX,"oui")</f>
        <v>0</v>
      </c>
      <c r="N62">
        <f>COUNTIFS(donnée!$AQ:$AQ,"&gt;=+0,26",donnée!$AQ:$AQ,"&lt;=+0,50",donnée!BY:BY,"oui")</f>
        <v>0</v>
      </c>
      <c r="O62">
        <f>COUNTIFS(donnée!$AQ:$AQ,"&gt;=+0,26",donnée!$AQ:$AQ,"&lt;=+0,50",donnée!BZ:BZ,"oui")</f>
        <v>0</v>
      </c>
      <c r="P62" t="s">
        <v>63</v>
      </c>
      <c r="Q62">
        <f>COUNTIFS(donnée!$AQ:$AQ,"&gt;=+0,26",donnée!$AQ:$AQ,"&lt;=+0,50",donnée!CA:CA,"oui")</f>
        <v>0</v>
      </c>
      <c r="R62">
        <f>COUNTIFS(donnée!$AQ:$AQ,"&gt;=+0,26",donnée!$AQ:$AQ,"&lt;=+0,50",donnée!CB:CB,"oui")</f>
        <v>0</v>
      </c>
      <c r="S62">
        <f>COUNTIFS(donnée!$AQ:$AQ,"&gt;=+0,26",donnée!$AQ:$AQ,"&lt;=+0,50",donnée!CC:CC,"oui")</f>
        <v>0</v>
      </c>
      <c r="T62">
        <f>COUNTIFS(donnée!$AQ:$AQ,"&gt;=+0,26",donnée!$AQ:$AQ,"&lt;=+0,50",donnée!CD:CD,"oui")</f>
        <v>0</v>
      </c>
      <c r="U62">
        <f>COUNTIFS(donnée!$AQ:$AQ,"&gt;=+0,26",donnée!$AQ:$AQ,"&lt;=+0,50",donnée!CE:CE,"oui")</f>
        <v>0</v>
      </c>
      <c r="V62">
        <f>COUNTIFS(donnée!$AQ:$AQ,"&gt;=+0,26",donnée!$AQ:$AQ,"&lt;=+0,50",donnée!CF:CF,"oui")</f>
        <v>0</v>
      </c>
      <c r="W62" t="s">
        <v>63</v>
      </c>
      <c r="X62">
        <f>COUNTIFS(donnée!$AQ:$AQ,"&gt;=+0,26",donnée!$AQ:$AQ,"&lt;=+0,50",donnée!CG:CG,"oui")</f>
        <v>0</v>
      </c>
      <c r="Y62">
        <f>COUNTIFS(donnée!$AQ:$AQ,"&gt;=+0,26",donnée!$AQ:$AQ,"&lt;=+0,50",donnée!CH:CH,"oui")</f>
        <v>0</v>
      </c>
      <c r="Z62">
        <f>COUNTIFS(donnée!$AQ:$AQ,"&gt;=+0,26",donnée!$AQ:$AQ,"&lt;=+0,50",donnée!CI:CI,"oui")</f>
        <v>0</v>
      </c>
      <c r="AA62">
        <f>COUNTIFS(donnée!$AQ:$AQ,"&gt;=+0,26",donnée!$AQ:$AQ,"&lt;=+0,50",donnée!CJ:CJ,"oui")</f>
        <v>0</v>
      </c>
      <c r="AB62">
        <f>COUNTIFS(donnée!$AQ:$AQ,"&gt;=+0,26",donnée!$AQ:$AQ,"&lt;=+0,50",donnée!CK:CK,"oui")</f>
        <v>0</v>
      </c>
      <c r="AD62" t="s">
        <v>63</v>
      </c>
      <c r="AE62">
        <f>COUNTIFS(donnée!$AQ:$AQ,"&gt;=+0,26",donnée!$AQ:$AQ,"&lt;=+0,50",donnée!CL:CL,"oui")</f>
        <v>0</v>
      </c>
      <c r="AF62">
        <f>COUNTIFS(donnée!$AQ:$AQ,"&gt;=+0,26",donnée!$AQ:$AQ,"&lt;=+0,50",donnée!CM:CM,"oui")</f>
        <v>0</v>
      </c>
      <c r="AG62">
        <f>COUNTIFS(donnée!$AQ:$AQ,"&gt;=+0,26",donnée!$AQ:$AQ,"&lt;=+0,50",donnée!CN:CN,"oui")</f>
        <v>0</v>
      </c>
      <c r="AH62">
        <f>COUNTIFS(donnée!$AQ:$AQ,"&gt;=+0,26",donnée!$AQ:$AQ,"&lt;=+0,50",donnée!CO:CO,"oui")</f>
        <v>0</v>
      </c>
      <c r="AK62" t="s">
        <v>63</v>
      </c>
      <c r="AL62">
        <f>COUNTIFS(donnée!$AQ:$AQ,"&gt;=+0,26",donnée!$AQ:$AQ,"&lt;=+0,50",donnée!CP:CP,"oui")</f>
        <v>0</v>
      </c>
      <c r="AM62">
        <f>COUNTIFS(donnée!$AQ:$AQ,"&gt;=+0,26",donnée!$AQ:$AQ,"&lt;=+0,50",donnée!CQ:CQ,"oui")</f>
        <v>0</v>
      </c>
      <c r="AN62">
        <f>COUNTIFS(donnée!$AQ:$AQ,"&gt;=+0,26",donnée!$AQ:$AQ,"&lt;=+0,50",donnée!CR:CR,"oui")</f>
        <v>0</v>
      </c>
      <c r="AO62">
        <f>COUNTIFS(donnée!$AQ:$AQ,"&gt;=+0,26",donnée!$AQ:$AQ,"&lt;=+0,50",donnée!CS:CS,"oui")</f>
        <v>0</v>
      </c>
      <c r="AR62" t="s">
        <v>63</v>
      </c>
      <c r="AS62">
        <f>COUNTIFS(donnée!$AQ:$AQ,"&gt;=+0,26",donnée!$AQ:$AQ,"&lt;=+0,50",donnée!CT:CT,"oui")</f>
        <v>0</v>
      </c>
      <c r="AT62">
        <f>COUNTIFS(donnée!$AQ:$AQ,"&gt;=+0,26",donnée!$AQ:$AQ,"&lt;=+0,50",donnée!CU:CU,"oui")</f>
        <v>0</v>
      </c>
      <c r="AU62">
        <f>COUNTIFS(donnée!$AQ:$AQ,"&gt;=+0,26",donnée!$AQ:$AQ,"&lt;=+0,50",donnée!CV:CV,"oui")</f>
        <v>0</v>
      </c>
      <c r="AV62">
        <f>COUNTIFS(donnée!$AQ:$AQ,"&gt;=+0,26",donnée!$AQ:$AQ,"&lt;=+0,50",donnée!CW:CW,"oui")</f>
        <v>0</v>
      </c>
      <c r="AW62">
        <f>COUNTIFS(donnée!$AQ:$AQ,"&gt;=+0,26",donnée!$AQ:$AQ,"&lt;=+0,50",donnée!CX:CX,"oui")</f>
        <v>0</v>
      </c>
      <c r="AX62">
        <f>COUNTIFS(donnée!$AQ:$AQ,"&gt;=+0,26",donnée!$AQ:$AQ,"&lt;=+0,50",donnée!CY:CY,"oui")</f>
        <v>0</v>
      </c>
      <c r="AY62">
        <f>COUNTIFS(donnée!$AQ:$AQ,"&gt;=+0,26",donnée!$AQ:$AQ,"&lt;=+0,50",donnée!CZ:CZ,"oui")</f>
        <v>0</v>
      </c>
    </row>
    <row r="63" spans="2:52" x14ac:dyDescent="0.2">
      <c r="B63" t="s">
        <v>64</v>
      </c>
      <c r="C63">
        <f>COUNTIFS(donnée!$AQ:$AQ,"&gt;=-0,25",donnée!$AQ:$AQ,"&lt;=+0,25",donnée!BO:BO,"oui")</f>
        <v>0</v>
      </c>
      <c r="D63">
        <f>COUNTIFS(donnée!$AQ:$AQ,"&gt;=-0,25",donnée!$AQ:$AQ,"&lt;=+0,25",donnée!BP:BP,"oui")</f>
        <v>0</v>
      </c>
      <c r="E63">
        <f>COUNTIFS(donnée!$AQ:$AQ,"&gt;=-0,25",donnée!$AQ:$AQ,"&lt;=+0,25",donnée!BQ:BQ,"oui")</f>
        <v>0</v>
      </c>
      <c r="F63">
        <f>COUNTIFS(donnée!$AQ:$AQ,"&gt;=-0,25",donnée!$AQ:$AQ,"&lt;=+0,25",donnée!BR:BR,"oui")</f>
        <v>0</v>
      </c>
      <c r="G63">
        <f>COUNTIFS(donnée!$AQ:$AQ,"&gt;=-0,25",donnée!$AQ:$AQ,"&lt;=+0,25",donnée!BS:BS,"oui")</f>
        <v>0</v>
      </c>
      <c r="H63">
        <f>COUNTIFS(donnée!$AQ:$AQ,"&gt;=-0,25",donnée!$AQ:$AQ,"&lt;=+0,25",donnée!BT:BT,"oui")</f>
        <v>0</v>
      </c>
      <c r="I63" t="s">
        <v>64</v>
      </c>
      <c r="J63">
        <f>COUNTIFS(donnée!$AQ:$AQ,"&gt;=-0,25",donnée!$AQ:$AQ,"&lt;=+0,25",donnée!BU:BU,"oui")</f>
        <v>0</v>
      </c>
      <c r="K63">
        <f>COUNTIFS(donnée!$AQ:$AQ,"&gt;=-0,25",donnée!$AQ:$AQ,"&lt;=+0,25",donnée!BV:BV,"oui")</f>
        <v>0</v>
      </c>
      <c r="L63">
        <f>COUNTIFS(donnée!$AQ:$AQ,"&gt;=-0,25",donnée!$AQ:$AQ,"&lt;=+0,25",donnée!BW:BW,"oui")</f>
        <v>0</v>
      </c>
      <c r="M63">
        <f>COUNTIFS(donnée!$AQ:$AQ,"&gt;=-0,25",donnée!$AQ:$AQ,"&lt;=+0,25",donnée!BX:BX,"oui")</f>
        <v>0</v>
      </c>
      <c r="N63">
        <f>COUNTIFS(donnée!$AQ:$AQ,"&gt;=-0,25",donnée!$AQ:$AQ,"&lt;=+0,25",donnée!BY:BY,"oui")</f>
        <v>0</v>
      </c>
      <c r="O63">
        <f>COUNTIFS(donnée!$AQ:$AQ,"&gt;=-0,25",donnée!$AQ:$AQ,"&lt;=+0,25",donnée!BZ:BZ,"oui")</f>
        <v>0</v>
      </c>
      <c r="P63" t="s">
        <v>64</v>
      </c>
      <c r="Q63">
        <f>COUNTIFS(donnée!$AQ:$AQ,"&gt;=-0,25",donnée!$AQ:$AQ,"&lt;=+0,25",donnée!CA:CA,"oui")</f>
        <v>0</v>
      </c>
      <c r="R63">
        <f>COUNTIFS(donnée!$AQ:$AQ,"&gt;=-0,25",donnée!$AQ:$AQ,"&lt;=+0,25",donnée!CB:CB,"oui")</f>
        <v>0</v>
      </c>
      <c r="S63">
        <f>COUNTIFS(donnée!$AQ:$AQ,"&gt;=-0,25",donnée!$AQ:$AQ,"&lt;=+0,25",donnée!CC:CC,"oui")</f>
        <v>0</v>
      </c>
      <c r="T63">
        <f>COUNTIFS(donnée!$AQ:$AQ,"&gt;=-0,25",donnée!$AQ:$AQ,"&lt;=+0,25",donnée!CD:CD,"oui")</f>
        <v>0</v>
      </c>
      <c r="U63">
        <f>COUNTIFS(donnée!$AQ:$AQ,"&gt;=-0,25",donnée!$AQ:$AQ,"&lt;=+0,25",donnée!CE:CE,"oui")</f>
        <v>0</v>
      </c>
      <c r="V63">
        <f>COUNTIFS(donnée!$AQ:$AQ,"&gt;=-0,25",donnée!$AQ:$AQ,"&lt;=+0,25",donnée!CF:CF,"oui")</f>
        <v>0</v>
      </c>
      <c r="W63" t="s">
        <v>64</v>
      </c>
      <c r="X63">
        <f>COUNTIFS(donnée!$AQ:$AQ,"&gt;=-0,25",donnée!$AQ:$AQ,"&lt;=+0,25",donnée!CG:CG,"oui")</f>
        <v>0</v>
      </c>
      <c r="Y63">
        <f>COUNTIFS(donnée!$AQ:$AQ,"&gt;=-0,25",donnée!$AQ:$AQ,"&lt;=+0,25",donnée!CH:CH,"oui")</f>
        <v>0</v>
      </c>
      <c r="Z63">
        <f>COUNTIFS(donnée!$AQ:$AQ,"&gt;=-0,25",donnée!$AQ:$AQ,"&lt;=+0,25",donnée!CI:CI,"oui")</f>
        <v>0</v>
      </c>
      <c r="AA63">
        <f>COUNTIFS(donnée!$AQ:$AQ,"&gt;=-0,25",donnée!$AQ:$AQ,"&lt;=+0,25",donnée!CJ:CJ,"oui")</f>
        <v>0</v>
      </c>
      <c r="AB63">
        <f>COUNTIFS(donnée!$AQ:$AQ,"&gt;=-0,25",donnée!$AQ:$AQ,"&lt;=+0,25",donnée!CK:CK,"oui")</f>
        <v>0</v>
      </c>
      <c r="AD63" t="s">
        <v>64</v>
      </c>
      <c r="AE63">
        <f>COUNTIFS(donnée!$AQ:$AQ,"&gt;=-0,25",donnée!$AQ:$AQ,"&lt;=+0,25",donnée!CL:CL,"oui")</f>
        <v>0</v>
      </c>
      <c r="AF63">
        <f>COUNTIFS(donnée!$AQ:$AQ,"&gt;=-0,25",donnée!$AQ:$AQ,"&lt;=+0,25",donnée!CM:CM,"oui")</f>
        <v>0</v>
      </c>
      <c r="AG63">
        <f>COUNTIFS(donnée!$AQ:$AQ,"&gt;=-0,25",donnée!$AQ:$AQ,"&lt;=+0,25",donnée!CN:CN,"oui")</f>
        <v>0</v>
      </c>
      <c r="AH63">
        <f>COUNTIFS(donnée!$AQ:$AQ,"&gt;=-0,25",donnée!$AQ:$AQ,"&lt;=+0,25",donnée!CO:CO,"oui")</f>
        <v>0</v>
      </c>
      <c r="AK63" t="s">
        <v>64</v>
      </c>
      <c r="AL63">
        <f>COUNTIFS(donnée!$AQ:$AQ,"&gt;=-0,25",donnée!$AQ:$AQ,"&lt;=+0,25",donnée!CP:CP,"oui")</f>
        <v>0</v>
      </c>
      <c r="AM63">
        <f>COUNTIFS(donnée!$AQ:$AQ,"&gt;=-0,25",donnée!$AQ:$AQ,"&lt;=+0,25",donnée!CQ:CQ,"oui")</f>
        <v>0</v>
      </c>
      <c r="AN63">
        <f>COUNTIFS(donnée!$AQ:$AQ,"&gt;=-0,25",donnée!$AQ:$AQ,"&lt;=+0,25",donnée!CR:CR,"oui")</f>
        <v>0</v>
      </c>
      <c r="AO63">
        <f>COUNTIFS(donnée!$AQ:$AQ,"&gt;=-0,25",donnée!$AQ:$AQ,"&lt;=+0,25",donnée!CS:CS,"oui")</f>
        <v>0</v>
      </c>
      <c r="AR63" t="s">
        <v>64</v>
      </c>
      <c r="AS63">
        <f>COUNTIFS(donnée!$AQ:$AQ,"&gt;=-0,25",donnée!$AQ:$AQ,"&lt;=+0,25",donnée!CT:CT,"oui")</f>
        <v>0</v>
      </c>
      <c r="AT63">
        <f>COUNTIFS(donnée!$AQ:$AQ,"&gt;=-0,25",donnée!$AQ:$AQ,"&lt;=+0,25",donnée!CU:CU,"oui")</f>
        <v>0</v>
      </c>
      <c r="AU63">
        <f>COUNTIFS(donnée!$AQ:$AQ,"&gt;=-0,25",donnée!$AQ:$AQ,"&lt;=+0,25",donnée!CV:CV,"oui")</f>
        <v>0</v>
      </c>
      <c r="AV63">
        <f>COUNTIFS(donnée!$AQ:$AQ,"&gt;=-0,25",donnée!$AQ:$AQ,"&lt;=+0,25",donnée!CW:CW,"oui")</f>
        <v>0</v>
      </c>
      <c r="AW63">
        <f>COUNTIFS(donnée!$AQ:$AQ,"&gt;=-0,25",donnée!$AQ:$AQ,"&lt;=+0,25",donnée!CX:CX,"oui")</f>
        <v>0</v>
      </c>
      <c r="AX63">
        <f>COUNTIFS(donnée!$AQ:$AQ,"&gt;=-0,25",donnée!$AQ:$AQ,"&lt;=+0,25",donnée!CY:CY,"oui")</f>
        <v>0</v>
      </c>
      <c r="AY63">
        <f>COUNTIFS(donnée!$AQ:$AQ,"&gt;=-0,25",donnée!$AQ:$AQ,"&lt;=+0,25",donnée!CZ:CZ,"oui")</f>
        <v>0</v>
      </c>
    </row>
    <row r="64" spans="2:52" x14ac:dyDescent="0.2">
      <c r="B64" t="s">
        <v>65</v>
      </c>
      <c r="C64">
        <f>COUNTIFS(donnée!$AQ:$AQ,"&gt;=-0,50",donnée!$AQ:$AQ,"&lt;=-0,26",donnée!BO:BO,"oui")</f>
        <v>0</v>
      </c>
      <c r="D64">
        <f>COUNTIFS(donnée!$AQ:$AQ,"&gt;=-0,50",donnée!$AQ:$AQ,"&lt;=-0,26",donnée!BP:BP,"oui")</f>
        <v>0</v>
      </c>
      <c r="E64">
        <f>COUNTIFS(donnée!$AQ:$AQ,"&gt;=-0,50",donnée!$AQ:$AQ,"&lt;=-0,26",donnée!BQ:BQ,"oui")</f>
        <v>0</v>
      </c>
      <c r="F64">
        <f>COUNTIFS(donnée!$AQ:$AQ,"&gt;=-0,50",donnée!$AQ:$AQ,"&lt;=-0,26",donnée!BR:BR,"oui")</f>
        <v>0</v>
      </c>
      <c r="G64">
        <f>COUNTIFS(donnée!$AQ:$AQ,"&gt;=-0,50",donnée!$AQ:$AQ,"&lt;=-0,26",donnée!BS:BS,"oui")</f>
        <v>0</v>
      </c>
      <c r="H64">
        <f>COUNTIFS(donnée!$AQ:$AQ,"&gt;=-0,50",donnée!$AQ:$AQ,"&lt;=-0,26",donnée!BT:BT,"oui")</f>
        <v>0</v>
      </c>
      <c r="I64" t="s">
        <v>65</v>
      </c>
      <c r="J64">
        <f>COUNTIFS(donnée!$AQ:$AQ,"&gt;=-0,50",donnée!$AQ:$AQ,"&lt;=-0,26",donnée!BU:BU,"oui")</f>
        <v>0</v>
      </c>
      <c r="K64">
        <f>COUNTIFS(donnée!$AQ:$AQ,"&gt;=-0,50",donnée!$AQ:$AQ,"&lt;=-0,26",donnée!BV:BV,"oui")</f>
        <v>0</v>
      </c>
      <c r="L64">
        <f>COUNTIFS(donnée!$AQ:$AQ,"&gt;=-0,50",donnée!$AQ:$AQ,"&lt;=-0,26",donnée!BW:BW,"oui")</f>
        <v>0</v>
      </c>
      <c r="M64">
        <f>COUNTIFS(donnée!$AQ:$AQ,"&gt;=-0,50",donnée!$AQ:$AQ,"&lt;=-0,26",donnée!BX:BX,"oui")</f>
        <v>0</v>
      </c>
      <c r="N64">
        <f>COUNTIFS(donnée!$AQ:$AQ,"&gt;=-0,50",donnée!$AQ:$AQ,"&lt;=-0,26",donnée!BY:BY,"oui")</f>
        <v>0</v>
      </c>
      <c r="O64">
        <f>COUNTIFS(donnée!$AQ:$AQ,"&gt;=-0,50",donnée!$AQ:$AQ,"&lt;=-0,26",donnée!BZ:BZ,"oui")</f>
        <v>0</v>
      </c>
      <c r="P64" t="s">
        <v>65</v>
      </c>
      <c r="Q64">
        <f>COUNTIFS(donnée!$AQ:$AQ,"&gt;=-0,50",donnée!$AQ:$AQ,"&lt;=-0,26",donnée!CA:CA,"oui")</f>
        <v>0</v>
      </c>
      <c r="R64">
        <f>COUNTIFS(donnée!$AQ:$AQ,"&gt;=-0,50",donnée!$AQ:$AQ,"&lt;=-0,26",donnée!CB:CB,"oui")</f>
        <v>0</v>
      </c>
      <c r="S64">
        <f>COUNTIFS(donnée!$AQ:$AQ,"&gt;=-0,50",donnée!$AQ:$AQ,"&lt;=-0,26",donnée!CC:CC,"oui")</f>
        <v>0</v>
      </c>
      <c r="T64">
        <f>COUNTIFS(donnée!$AQ:$AQ,"&gt;=-0,50",donnée!$AQ:$AQ,"&lt;=-0,26",donnée!CD:CD,"oui")</f>
        <v>0</v>
      </c>
      <c r="U64">
        <f>COUNTIFS(donnée!$AQ:$AQ,"&gt;=-0,50",donnée!$AQ:$AQ,"&lt;=-0,26",donnée!CE:CE,"oui")</f>
        <v>0</v>
      </c>
      <c r="V64">
        <f>COUNTIFS(donnée!$AQ:$AQ,"&gt;=-0,50",donnée!$AQ:$AQ,"&lt;=-0,26",donnée!CF:CF,"oui")</f>
        <v>0</v>
      </c>
      <c r="W64" t="s">
        <v>65</v>
      </c>
      <c r="X64">
        <f>COUNTIFS(donnée!$AQ:$AQ,"&gt;=-0,50",donnée!$AQ:$AQ,"&lt;=-0,26",donnée!CG:CG,"oui")</f>
        <v>0</v>
      </c>
      <c r="Y64">
        <f>COUNTIFS(donnée!$AQ:$AQ,"&gt;=-0,50",donnée!$AQ:$AQ,"&lt;=-0,26",donnée!CH:CH,"oui")</f>
        <v>0</v>
      </c>
      <c r="Z64">
        <f>COUNTIFS(donnée!$AQ:$AQ,"&gt;=-0,50",donnée!$AQ:$AQ,"&lt;=-0,26",donnée!CI:CI,"oui")</f>
        <v>0</v>
      </c>
      <c r="AA64">
        <f>COUNTIFS(donnée!$AQ:$AQ,"&gt;=-0,50",donnée!$AQ:$AQ,"&lt;=-0,26",donnée!CJ:CJ,"oui")</f>
        <v>0</v>
      </c>
      <c r="AB64">
        <f>COUNTIFS(donnée!$AQ:$AQ,"&gt;=-0,50",donnée!$AQ:$AQ,"&lt;=-0,26",donnée!CK:CK,"oui")</f>
        <v>0</v>
      </c>
      <c r="AD64" t="s">
        <v>65</v>
      </c>
      <c r="AE64">
        <f>COUNTIFS(donnée!$AQ:$AQ,"&gt;=-0,50",donnée!$AQ:$AQ,"&lt;=-0,26",donnée!CL:CL,"oui")</f>
        <v>0</v>
      </c>
      <c r="AF64">
        <f>COUNTIFS(donnée!$AQ:$AQ,"&gt;=-0,50",donnée!$AQ:$AQ,"&lt;=-0,26",donnée!CM:CM,"oui")</f>
        <v>0</v>
      </c>
      <c r="AG64">
        <f>COUNTIFS(donnée!$AQ:$AQ,"&gt;=-0,50",donnée!$AQ:$AQ,"&lt;=-0,26",donnée!CN:CN,"oui")</f>
        <v>0</v>
      </c>
      <c r="AH64">
        <f>COUNTIFS(donnée!$AQ:$AQ,"&gt;=-0,50",donnée!$AQ:$AQ,"&lt;=-0,26",donnée!CO:CO,"oui")</f>
        <v>0</v>
      </c>
      <c r="AK64" t="s">
        <v>65</v>
      </c>
      <c r="AL64">
        <f>COUNTIFS(donnée!$AQ:$AQ,"&gt;=-0,50",donnée!$AQ:$AQ,"&lt;=-0,26",donnée!CP:CP,"oui")</f>
        <v>0</v>
      </c>
      <c r="AM64">
        <f>COUNTIFS(donnée!$AQ:$AQ,"&gt;=-0,50",donnée!$AQ:$AQ,"&lt;=-0,26",donnée!CQ:CQ,"oui")</f>
        <v>0</v>
      </c>
      <c r="AN64">
        <f>COUNTIFS(donnée!$AQ:$AQ,"&gt;=-0,50",donnée!$AQ:$AQ,"&lt;=-0,26",donnée!CR:CR,"oui")</f>
        <v>0</v>
      </c>
      <c r="AO64">
        <f>COUNTIFS(donnée!$AQ:$AQ,"&gt;=-0,50",donnée!$AQ:$AQ,"&lt;=-0,26",donnée!CS:CS,"oui")</f>
        <v>0</v>
      </c>
      <c r="AR64" t="s">
        <v>65</v>
      </c>
      <c r="AS64">
        <f>COUNTIFS(donnée!$AQ:$AQ,"&gt;=-0,50",donnée!$AQ:$AQ,"&lt;=-0,26",donnée!CT:CT,"oui")</f>
        <v>0</v>
      </c>
      <c r="AT64">
        <f>COUNTIFS(donnée!$AQ:$AQ,"&gt;=-0,50",donnée!$AQ:$AQ,"&lt;=-0,26",donnée!CU:CU,"oui")</f>
        <v>0</v>
      </c>
      <c r="AU64">
        <f>COUNTIFS(donnée!$AQ:$AQ,"&gt;=-0,50",donnée!$AQ:$AQ,"&lt;=-0,26",donnée!CV:CV,"oui")</f>
        <v>0</v>
      </c>
      <c r="AV64">
        <f>COUNTIFS(donnée!$AQ:$AQ,"&gt;=-0,50",donnée!$AQ:$AQ,"&lt;=-0,26",donnée!CW:CW,"oui")</f>
        <v>0</v>
      </c>
      <c r="AW64">
        <f>COUNTIFS(donnée!$AQ:$AQ,"&gt;=-0,50",donnée!$AQ:$AQ,"&lt;=-0,26",donnée!CX:CX,"oui")</f>
        <v>0</v>
      </c>
      <c r="AX64">
        <f>COUNTIFS(donnée!$AQ:$AQ,"&gt;=-0,50",donnée!$AQ:$AQ,"&lt;=-0,26",donnée!CY:CY,"oui")</f>
        <v>0</v>
      </c>
      <c r="AY64">
        <f>COUNTIFS(donnée!$AQ:$AQ,"&gt;=-0,50",donnée!$AQ:$AQ,"&lt;=-0,26",donnée!CZ:CZ,"oui")</f>
        <v>0</v>
      </c>
    </row>
    <row r="65" spans="2:51" x14ac:dyDescent="0.2">
      <c r="B65" t="s">
        <v>66</v>
      </c>
      <c r="C65">
        <f>COUNTIFS(donnée!$AQ:$AQ,"&gt;=-0,75",donnée!$AQ:$AQ,"&lt;=-0,51",donnée!BO:BO,"oui")</f>
        <v>0</v>
      </c>
      <c r="D65">
        <f>COUNTIFS(donnée!$AQ:$AQ,"&gt;=-0,75",donnée!$AQ:$AQ,"&lt;=-0,51",donnée!BP:BP,"oui")</f>
        <v>0</v>
      </c>
      <c r="E65">
        <f>COUNTIFS(donnée!$AQ:$AQ,"&gt;=-0,75",donnée!$AQ:$AQ,"&lt;=-0,51",donnée!BQ:BQ,"oui")</f>
        <v>0</v>
      </c>
      <c r="F65">
        <f>COUNTIFS(donnée!$AQ:$AQ,"&gt;=-0,75",donnée!$AQ:$AQ,"&lt;=-0,51",donnée!BR:BR,"oui")</f>
        <v>0</v>
      </c>
      <c r="G65">
        <f>COUNTIFS(donnée!$AQ:$AQ,"&gt;=-0,75",donnée!$AQ:$AQ,"&lt;=-0,51",donnée!BS:BS,"oui")</f>
        <v>0</v>
      </c>
      <c r="H65">
        <f>COUNTIFS(donnée!$AQ:$AQ,"&gt;=-0,75",donnée!$AQ:$AQ,"&lt;=-0,51",donnée!BT:BT,"oui")</f>
        <v>0</v>
      </c>
      <c r="I65" t="s">
        <v>66</v>
      </c>
      <c r="J65">
        <f>COUNTIFS(donnée!$AQ:$AQ,"&gt;=-0,75",donnée!$AQ:$AQ,"&lt;=-0,51",donnée!BU:BU,"oui")</f>
        <v>0</v>
      </c>
      <c r="K65">
        <f>COUNTIFS(donnée!$AQ:$AQ,"&gt;=-0,75",donnée!$AQ:$AQ,"&lt;=-0,51",donnée!BV:BV,"oui")</f>
        <v>0</v>
      </c>
      <c r="L65">
        <f>COUNTIFS(donnée!$AQ:$AQ,"&gt;=-0,75",donnée!$AQ:$AQ,"&lt;=-0,51",donnée!BW:BW,"oui")</f>
        <v>0</v>
      </c>
      <c r="M65">
        <f>COUNTIFS(donnée!$AQ:$AQ,"&gt;=-0,75",donnée!$AQ:$AQ,"&lt;=-0,51",donnée!BX:BX,"oui")</f>
        <v>0</v>
      </c>
      <c r="N65">
        <f>COUNTIFS(donnée!$AQ:$AQ,"&gt;=-0,75",donnée!$AQ:$AQ,"&lt;=-0,51",donnée!BY:BY,"oui")</f>
        <v>0</v>
      </c>
      <c r="O65">
        <f>COUNTIFS(donnée!$AQ:$AQ,"&gt;=-0,75",donnée!$AQ:$AQ,"&lt;=-0,51",donnée!BZ:BZ,"oui")</f>
        <v>0</v>
      </c>
      <c r="P65" t="s">
        <v>66</v>
      </c>
      <c r="Q65">
        <f>COUNTIFS(donnée!$AQ:$AQ,"&gt;=-0,75",donnée!$AQ:$AQ,"&lt;=-0,51",donnée!CA:CA,"oui")</f>
        <v>0</v>
      </c>
      <c r="R65">
        <f>COUNTIFS(donnée!$AQ:$AQ,"&gt;=-0,75",donnée!$AQ:$AQ,"&lt;=-0,51",donnée!CB:CB,"oui")</f>
        <v>0</v>
      </c>
      <c r="S65">
        <f>COUNTIFS(donnée!$AQ:$AQ,"&gt;=-0,75",donnée!$AQ:$AQ,"&lt;=-0,51",donnée!CC:CC,"oui")</f>
        <v>0</v>
      </c>
      <c r="T65">
        <f>COUNTIFS(donnée!$AQ:$AQ,"&gt;=-0,75",donnée!$AQ:$AQ,"&lt;=-0,51",donnée!CD:CD,"oui")</f>
        <v>0</v>
      </c>
      <c r="U65">
        <f>COUNTIFS(donnée!$AQ:$AQ,"&gt;=-0,75",donnée!$AQ:$AQ,"&lt;=-0,51",donnée!CE:CE,"oui")</f>
        <v>0</v>
      </c>
      <c r="V65">
        <f>COUNTIFS(donnée!$AQ:$AQ,"&gt;=-0,75",donnée!$AQ:$AQ,"&lt;=-0,51",donnée!CF:CF,"oui")</f>
        <v>0</v>
      </c>
      <c r="W65" t="s">
        <v>66</v>
      </c>
      <c r="X65">
        <f>COUNTIFS(donnée!$AQ:$AQ,"&gt;=-0,75",donnée!$AQ:$AQ,"&lt;=-0,51",donnée!CG:CG,"oui")</f>
        <v>0</v>
      </c>
      <c r="Y65">
        <f>COUNTIFS(donnée!$AQ:$AQ,"&gt;=-0,75",donnée!$AQ:$AQ,"&lt;=-0,51",donnée!CH:CH,"oui")</f>
        <v>0</v>
      </c>
      <c r="Z65">
        <f>COUNTIFS(donnée!$AQ:$AQ,"&gt;=-0,75",donnée!$AQ:$AQ,"&lt;=-0,51",donnée!CI:CI,"oui")</f>
        <v>0</v>
      </c>
      <c r="AA65">
        <f>COUNTIFS(donnée!$AQ:$AQ,"&gt;=-0,75",donnée!$AQ:$AQ,"&lt;=-0,51",donnée!CJ:CJ,"oui")</f>
        <v>0</v>
      </c>
      <c r="AB65">
        <f>COUNTIFS(donnée!$AQ:$AQ,"&gt;=-0,75",donnée!$AQ:$AQ,"&lt;=-0,51",donnée!CK:CK,"oui")</f>
        <v>0</v>
      </c>
      <c r="AD65" t="s">
        <v>66</v>
      </c>
      <c r="AE65">
        <f>COUNTIFS(donnée!$AQ:$AQ,"&gt;=-0,75",donnée!$AQ:$AQ,"&lt;=-0,51",donnée!CL:CL,"oui")</f>
        <v>0</v>
      </c>
      <c r="AF65">
        <f>COUNTIFS(donnée!$AQ:$AQ,"&gt;=-0,75",donnée!$AQ:$AQ,"&lt;=-0,51",donnée!CM:CM,"oui")</f>
        <v>0</v>
      </c>
      <c r="AG65">
        <f>COUNTIFS(donnée!$AQ:$AQ,"&gt;=-0,75",donnée!$AQ:$AQ,"&lt;=-0,51",donnée!CN:CN,"oui")</f>
        <v>0</v>
      </c>
      <c r="AH65">
        <f>COUNTIFS(donnée!$AQ:$AQ,"&gt;=-0,75",donnée!$AQ:$AQ,"&lt;=-0,51",donnée!CO:CO,"oui")</f>
        <v>0</v>
      </c>
      <c r="AK65" t="s">
        <v>66</v>
      </c>
      <c r="AL65">
        <f>COUNTIFS(donnée!$AQ:$AQ,"&gt;=-0,75",donnée!$AQ:$AQ,"&lt;=-0,51",donnée!CP:CP,"oui")</f>
        <v>0</v>
      </c>
      <c r="AM65">
        <f>COUNTIFS(donnée!$AQ:$AQ,"&gt;=-0,75",donnée!$AQ:$AQ,"&lt;=-0,51",donnée!CQ:CQ,"oui")</f>
        <v>0</v>
      </c>
      <c r="AN65">
        <f>COUNTIFS(donnée!$AQ:$AQ,"&gt;=-0,75",donnée!$AQ:$AQ,"&lt;=-0,51",donnée!CR:CR,"oui")</f>
        <v>0</v>
      </c>
      <c r="AO65">
        <f>COUNTIFS(donnée!$AQ:$AQ,"&gt;=-0,75",donnée!$AQ:$AQ,"&lt;=-0,51",donnée!CS:CS,"oui")</f>
        <v>0</v>
      </c>
      <c r="AR65" t="s">
        <v>66</v>
      </c>
      <c r="AS65">
        <f>COUNTIFS(donnée!$AQ:$AQ,"&gt;=-0,75",donnée!$AQ:$AQ,"&lt;=-0,51",donnée!CT:CT,"oui")</f>
        <v>0</v>
      </c>
      <c r="AT65">
        <f>COUNTIFS(donnée!$AQ:$AQ,"&gt;=-0,75",donnée!$AQ:$AQ,"&lt;=-0,51",donnée!CU:CU,"oui")</f>
        <v>0</v>
      </c>
      <c r="AU65">
        <f>COUNTIFS(donnée!$AQ:$AQ,"&gt;=-0,75",donnée!$AQ:$AQ,"&lt;=-0,51",donnée!CV:CV,"oui")</f>
        <v>0</v>
      </c>
      <c r="AV65">
        <f>COUNTIFS(donnée!$AQ:$AQ,"&gt;=-0,75",donnée!$AQ:$AQ,"&lt;=-0,51",donnée!CW:CW,"oui")</f>
        <v>0</v>
      </c>
      <c r="AW65">
        <f>COUNTIFS(donnée!$AQ:$AQ,"&gt;=-0,75",donnée!$AQ:$AQ,"&lt;=-0,51",donnée!CX:CX,"oui")</f>
        <v>0</v>
      </c>
      <c r="AX65">
        <f>COUNTIFS(donnée!$AQ:$AQ,"&gt;=-0,75",donnée!$AQ:$AQ,"&lt;=-0,51",donnée!CY:CY,"oui")</f>
        <v>0</v>
      </c>
      <c r="AY65">
        <f>COUNTIFS(donnée!$AQ:$AQ,"&gt;=-0,75",donnée!$AQ:$AQ,"&lt;=-0,51",donnée!CZ:CZ,"oui")</f>
        <v>0</v>
      </c>
    </row>
    <row r="66" spans="2:51" x14ac:dyDescent="0.2">
      <c r="B66" t="s">
        <v>67</v>
      </c>
      <c r="C66">
        <f>COUNTIFS(donnée!$AQ:$AQ,"&gt;=-1,0",donnée!$AQ:$AQ,"&lt;=-0,76",donnée!BO:BO,"oui")</f>
        <v>0</v>
      </c>
      <c r="D66">
        <f>COUNTIFS(donnée!$AQ:$AQ,"&gt;=-1,0",donnée!$AQ:$AQ,"&lt;=-0,76",donnée!BP:BP,"oui")</f>
        <v>0</v>
      </c>
      <c r="E66">
        <f>COUNTIFS(donnée!$AQ:$AQ,"&gt;=-1,0",donnée!$AQ:$AQ,"&lt;=-0,76",donnée!BQ:BQ,"oui")</f>
        <v>0</v>
      </c>
      <c r="F66">
        <f>COUNTIFS(donnée!$AQ:$AQ,"&gt;=-1,0",donnée!$AQ:$AQ,"&lt;=-0,76",donnée!BR:BR,"oui")</f>
        <v>0</v>
      </c>
      <c r="G66">
        <f>COUNTIFS(donnée!$AQ:$AQ,"&gt;=-1,0",donnée!$AQ:$AQ,"&lt;=-0,76",donnée!BS:BS,"oui")</f>
        <v>0</v>
      </c>
      <c r="H66">
        <f>COUNTIFS(donnée!$AQ:$AQ,"&gt;=-1,0",donnée!$AQ:$AQ,"&lt;=-0,76",donnée!BT:BT,"oui")</f>
        <v>0</v>
      </c>
      <c r="I66" t="s">
        <v>67</v>
      </c>
      <c r="J66">
        <f>COUNTIFS(donnée!$AQ:$AQ,"&gt;=-1,0",donnée!$AQ:$AQ,"&lt;=-0,76",donnée!BU:BU,"oui")</f>
        <v>0</v>
      </c>
      <c r="K66">
        <f>COUNTIFS(donnée!$AQ:$AQ,"&gt;=-1,0",donnée!$AQ:$AQ,"&lt;=-0,76",donnée!BV:BV,"oui")</f>
        <v>0</v>
      </c>
      <c r="L66">
        <f>COUNTIFS(donnée!$AQ:$AQ,"&gt;=-1,0",donnée!$AQ:$AQ,"&lt;=-0,76",donnée!BW:BW,"oui")</f>
        <v>0</v>
      </c>
      <c r="M66">
        <f>COUNTIFS(donnée!$AQ:$AQ,"&gt;=-1,0",donnée!$AQ:$AQ,"&lt;=-0,76",donnée!BX:BX,"oui")</f>
        <v>0</v>
      </c>
      <c r="N66">
        <f>COUNTIFS(donnée!$AQ:$AQ,"&gt;=-1,0",donnée!$AQ:$AQ,"&lt;=-0,76",donnée!BY:BY,"oui")</f>
        <v>0</v>
      </c>
      <c r="O66">
        <f>COUNTIFS(donnée!$AQ:$AQ,"&gt;=-1,0",donnée!$AQ:$AQ,"&lt;=-0,76",donnée!BZ:BZ,"oui")</f>
        <v>0</v>
      </c>
      <c r="P66" t="s">
        <v>67</v>
      </c>
      <c r="Q66">
        <f>COUNTIFS(donnée!$AQ:$AQ,"&gt;=-1,0",donnée!$AQ:$AQ,"&lt;=-0,76",donnée!CA:CA,"oui")</f>
        <v>0</v>
      </c>
      <c r="R66">
        <f>COUNTIFS(donnée!$AQ:$AQ,"&gt;=-1,0",donnée!$AQ:$AQ,"&lt;=-0,76",donnée!CB:CB,"oui")</f>
        <v>0</v>
      </c>
      <c r="S66">
        <f>COUNTIFS(donnée!$AQ:$AQ,"&gt;=-1,0",donnée!$AQ:$AQ,"&lt;=-0,76",donnée!CC:CC,"oui")</f>
        <v>0</v>
      </c>
      <c r="T66">
        <f>COUNTIFS(donnée!$AQ:$AQ,"&gt;=-1,0",donnée!$AQ:$AQ,"&lt;=-0,76",donnée!CD:CD,"oui")</f>
        <v>0</v>
      </c>
      <c r="U66">
        <f>COUNTIFS(donnée!$AQ:$AQ,"&gt;=-1,0",donnée!$AQ:$AQ,"&lt;=-0,76",donnée!CE:CE,"oui")</f>
        <v>0</v>
      </c>
      <c r="V66">
        <f>COUNTIFS(donnée!$AQ:$AQ,"&gt;=-1,0",donnée!$AQ:$AQ,"&lt;=-0,76",donnée!CF:CF,"oui")</f>
        <v>0</v>
      </c>
      <c r="W66" t="s">
        <v>67</v>
      </c>
      <c r="X66">
        <f>COUNTIFS(donnée!$AQ:$AQ,"&gt;=-1,0",donnée!$AQ:$AQ,"&lt;=-0,76",donnée!CG:CG,"oui")</f>
        <v>0</v>
      </c>
      <c r="Y66">
        <f>COUNTIFS(donnée!$AQ:$AQ,"&gt;=-1,0",donnée!$AQ:$AQ,"&lt;=-0,76",donnée!CH:CH,"oui")</f>
        <v>0</v>
      </c>
      <c r="Z66">
        <f>COUNTIFS(donnée!$AQ:$AQ,"&gt;=-1,0",donnée!$AQ:$AQ,"&lt;=-0,76",donnée!CI:CI,"oui")</f>
        <v>0</v>
      </c>
      <c r="AA66">
        <f>COUNTIFS(donnée!$AQ:$AQ,"&gt;=-1,0",donnée!$AQ:$AQ,"&lt;=-0,76",donnée!CJ:CJ,"oui")</f>
        <v>0</v>
      </c>
      <c r="AB66">
        <f>COUNTIFS(donnée!$AQ:$AQ,"&gt;=-1,0",donnée!$AQ:$AQ,"&lt;=-0,76",donnée!CK:CK,"oui")</f>
        <v>0</v>
      </c>
      <c r="AD66" t="s">
        <v>67</v>
      </c>
      <c r="AE66">
        <f>COUNTIFS(donnée!$AQ:$AQ,"&gt;=-1,0",donnée!$AQ:$AQ,"&lt;=-0,76",donnée!CL:CL,"oui")</f>
        <v>0</v>
      </c>
      <c r="AF66">
        <f>COUNTIFS(donnée!$AQ:$AQ,"&gt;=-1,0",donnée!$AQ:$AQ,"&lt;=-0,76",donnée!CM:CM,"oui")</f>
        <v>0</v>
      </c>
      <c r="AG66">
        <f>COUNTIFS(donnée!$AQ:$AQ,"&gt;=-1,0",donnée!$AQ:$AQ,"&lt;=-0,76",donnée!CN:CN,"oui")</f>
        <v>0</v>
      </c>
      <c r="AH66">
        <f>COUNTIFS(donnée!$AQ:$AQ,"&gt;=-1,0",donnée!$AQ:$AQ,"&lt;=-0,76",donnée!CO:CO,"oui")</f>
        <v>0</v>
      </c>
      <c r="AK66" t="s">
        <v>67</v>
      </c>
      <c r="AL66">
        <f>COUNTIFS(donnée!$AQ:$AQ,"&gt;=-1,0",donnée!$AQ:$AQ,"&lt;=-0,76",donnée!CP:CP,"oui")</f>
        <v>0</v>
      </c>
      <c r="AM66">
        <f>COUNTIFS(donnée!$AQ:$AQ,"&gt;=-1,0",donnée!$AQ:$AQ,"&lt;=-0,76",donnée!CQ:CQ,"oui")</f>
        <v>0</v>
      </c>
      <c r="AN66">
        <f>COUNTIFS(donnée!$AQ:$AQ,"&gt;=-1,0",donnée!$AQ:$AQ,"&lt;=-0,76",donnée!CR:CR,"oui")</f>
        <v>0</v>
      </c>
      <c r="AO66">
        <f>COUNTIFS(donnée!$AQ:$AQ,"&gt;=-1,0",donnée!$AQ:$AQ,"&lt;=-0,76",donnée!CS:CS,"oui")</f>
        <v>0</v>
      </c>
      <c r="AR66" t="s">
        <v>67</v>
      </c>
      <c r="AS66">
        <f>COUNTIFS(donnée!$AQ:$AQ,"&gt;=-1,0",donnée!$AQ:$AQ,"&lt;=-0,76",donnée!CT:CT,"oui")</f>
        <v>0</v>
      </c>
      <c r="AT66">
        <f>COUNTIFS(donnée!$AQ:$AQ,"&gt;=-1,0",donnée!$AQ:$AQ,"&lt;=-0,76",donnée!CU:CU,"oui")</f>
        <v>0</v>
      </c>
      <c r="AU66">
        <f>COUNTIFS(donnée!$AQ:$AQ,"&gt;=-1,0",donnée!$AQ:$AQ,"&lt;=-0,76",donnée!CV:CV,"oui")</f>
        <v>0</v>
      </c>
      <c r="AV66">
        <f>COUNTIFS(donnée!$AQ:$AQ,"&gt;=-1,0",donnée!$AQ:$AQ,"&lt;=-0,76",donnée!CW:CW,"oui")</f>
        <v>0</v>
      </c>
      <c r="AW66">
        <f>COUNTIFS(donnée!$AQ:$AQ,"&gt;=-1,0",donnée!$AQ:$AQ,"&lt;=-0,76",donnée!CX:CX,"oui")</f>
        <v>0</v>
      </c>
      <c r="AX66">
        <f>COUNTIFS(donnée!$AQ:$AQ,"&gt;=-1,0",donnée!$AQ:$AQ,"&lt;=-0,76",donnée!CY:CY,"oui")</f>
        <v>0</v>
      </c>
      <c r="AY66">
        <f>COUNTIFS(donnée!$AQ:$AQ,"&gt;=-1,0",donnée!$AQ:$AQ,"&lt;=-0,76",donnée!CZ:CZ,"oui")</f>
        <v>0</v>
      </c>
    </row>
    <row r="67" spans="2:51" x14ac:dyDescent="0.2">
      <c r="B67" t="s">
        <v>68</v>
      </c>
      <c r="C67">
        <f>COUNTIFS(donnée!$AQ:$AQ,"&lt;=-1,0",donnée!BO:BO,"oui")</f>
        <v>0</v>
      </c>
      <c r="D67">
        <f>COUNTIFS(donnée!$AQ:$AQ,"&lt;=-1,0",donnée!BP:BP,"oui")</f>
        <v>0</v>
      </c>
      <c r="E67">
        <f>COUNTIFS(donnée!$AQ:$AQ,"&lt;=-1,0",donnée!BQ:BQ,"oui")</f>
        <v>0</v>
      </c>
      <c r="F67">
        <f>COUNTIFS(donnée!$AQ:$AQ,"&lt;=-1,0",donnée!BR:BR,"oui")</f>
        <v>0</v>
      </c>
      <c r="G67">
        <f>COUNTIFS(donnée!$AQ:$AQ,"&lt;=-1,0",donnée!BS:BS,"oui")</f>
        <v>0</v>
      </c>
      <c r="H67">
        <f>COUNTIFS(donnée!$AQ:$AQ,"&lt;=-1,0",donnée!BT:BT,"oui")</f>
        <v>0</v>
      </c>
      <c r="I67" t="s">
        <v>68</v>
      </c>
      <c r="J67">
        <f>COUNTIFS(donnée!$AQ:$AQ,"&lt;=-1,0",donnée!BU:BU,"oui")</f>
        <v>0</v>
      </c>
      <c r="K67">
        <f>COUNTIFS(donnée!$AQ:$AQ,"&lt;=-1,0",donnée!BV:BV,"oui")</f>
        <v>0</v>
      </c>
      <c r="L67">
        <f>COUNTIFS(donnée!$AQ:$AQ,"&lt;=-1,0",donnée!BW:BW,"oui")</f>
        <v>0</v>
      </c>
      <c r="M67">
        <f>COUNTIFS(donnée!$AQ:$AQ,"&lt;=-1,0",donnée!BX:BX,"oui")</f>
        <v>0</v>
      </c>
      <c r="N67">
        <f>COUNTIFS(donnée!$AQ:$AQ,"&lt;=-1,0",donnée!BY:BY,"oui")</f>
        <v>0</v>
      </c>
      <c r="O67">
        <f>COUNTIFS(donnée!$AQ:$AQ,"&lt;=-1,0",donnée!BZ:BZ,"oui")</f>
        <v>0</v>
      </c>
      <c r="P67" t="s">
        <v>68</v>
      </c>
      <c r="Q67">
        <f>COUNTIFS(donnée!$AQ:$AQ,"&lt;=-1,0",donnée!CA:CA,"oui")</f>
        <v>0</v>
      </c>
      <c r="R67">
        <f>COUNTIFS(donnée!$AQ:$AQ,"&lt;=-1,0",donnée!CB:CB,"oui")</f>
        <v>0</v>
      </c>
      <c r="S67">
        <f>COUNTIFS(donnée!$AQ:$AQ,"&lt;=-1,0",donnée!CC:CC,"oui")</f>
        <v>0</v>
      </c>
      <c r="T67">
        <f>COUNTIFS(donnée!$AQ:$AQ,"&lt;=-1,0",donnée!CD:CD,"oui")</f>
        <v>0</v>
      </c>
      <c r="U67">
        <f>COUNTIFS(donnée!$AQ:$AQ,"&lt;=-1,0",donnée!CE:CE,"oui")</f>
        <v>0</v>
      </c>
      <c r="V67">
        <f>COUNTIFS(donnée!$AQ:$AQ,"&lt;=-1,0",donnée!CF:CF,"oui")</f>
        <v>0</v>
      </c>
      <c r="W67" t="s">
        <v>68</v>
      </c>
      <c r="X67">
        <f>COUNTIFS(donnée!$AQ:$AQ,"&lt;=-1,0",donnée!CG:CG,"oui")</f>
        <v>0</v>
      </c>
      <c r="Y67">
        <f>COUNTIFS(donnée!$AQ:$AQ,"&lt;=-1,0",donnée!CH:CH,"oui")</f>
        <v>0</v>
      </c>
      <c r="Z67">
        <f>COUNTIFS(donnée!$AQ:$AQ,"&lt;=-1,0",donnée!CI:CI,"oui")</f>
        <v>0</v>
      </c>
      <c r="AA67">
        <f>COUNTIFS(donnée!$AQ:$AQ,"&lt;=-1,0",donnée!CJ:CJ,"oui")</f>
        <v>0</v>
      </c>
      <c r="AB67">
        <f>COUNTIFS(donnée!$AQ:$AQ,"&lt;=-1,0",donnée!CK:CK,"oui")</f>
        <v>0</v>
      </c>
      <c r="AD67" t="s">
        <v>68</v>
      </c>
      <c r="AE67">
        <f>COUNTIFS(donnée!$AQ:$AQ,"&lt;=-1,0",donnée!CL:CL,"oui")</f>
        <v>0</v>
      </c>
      <c r="AF67">
        <f>COUNTIFS(donnée!$AQ:$AQ,"&lt;=-1,0",donnée!CM:CM,"oui")</f>
        <v>0</v>
      </c>
      <c r="AG67">
        <f>COUNTIFS(donnée!$AQ:$AQ,"&lt;=-1,0",donnée!CN:CN,"oui")</f>
        <v>0</v>
      </c>
      <c r="AH67">
        <f>COUNTIFS(donnée!$AQ:$AQ,"&lt;=-1,0",donnée!CO:CO,"oui")</f>
        <v>0</v>
      </c>
      <c r="AK67" t="s">
        <v>68</v>
      </c>
      <c r="AL67">
        <f>COUNTIFS(donnée!$AQ:$AQ,"&lt;=-1,0",donnée!CP:CP,"oui")</f>
        <v>0</v>
      </c>
      <c r="AM67">
        <f>COUNTIFS(donnée!$AQ:$AQ,"&lt;=-1,0",donnée!CQ:CQ,"oui")</f>
        <v>0</v>
      </c>
      <c r="AN67">
        <f>COUNTIFS(donnée!$AQ:$AQ,"&lt;=-1,0",donnée!CR:CR,"oui")</f>
        <v>0</v>
      </c>
      <c r="AO67">
        <f>COUNTIFS(donnée!$AQ:$AQ,"&lt;=-1,0",donnée!CS:CS,"oui")</f>
        <v>0</v>
      </c>
      <c r="AR67" t="s">
        <v>68</v>
      </c>
      <c r="AS67">
        <f>COUNTIFS(donnée!$AQ:$AQ,"&lt;=-1,0",donnée!CT:CT,"oui")</f>
        <v>0</v>
      </c>
      <c r="AT67">
        <f>COUNTIFS(donnée!$AQ:$AQ,"&lt;=-1,0",donnée!CU:CU,"oui")</f>
        <v>0</v>
      </c>
      <c r="AU67">
        <f>COUNTIFS(donnée!$AQ:$AQ,"&lt;=-1,0",donnée!CV:CV,"oui")</f>
        <v>0</v>
      </c>
      <c r="AV67">
        <f>COUNTIFS(donnée!$AQ:$AQ,"&lt;=-1,0",donnée!CW:CW,"oui")</f>
        <v>0</v>
      </c>
      <c r="AW67">
        <f>COUNTIFS(donnée!$AQ:$AQ,"&lt;=-1,0",donnée!CX:CX,"oui")</f>
        <v>0</v>
      </c>
      <c r="AX67">
        <f>COUNTIFS(donnée!$AQ:$AQ,"&lt;=-1,0",donnée!CY:CY,"oui")</f>
        <v>0</v>
      </c>
      <c r="AY67">
        <f>COUNTIFS(donnée!$AQ:$AQ,"&lt;=-1,0",donnée!CZ:CZ,"oui")</f>
        <v>0</v>
      </c>
    </row>
    <row r="83" spans="1:52" ht="16" thickBot="1" x14ac:dyDescent="0.25"/>
    <row r="84" spans="1:52" ht="49" thickBot="1" x14ac:dyDescent="0.25">
      <c r="C84" s="164" t="s">
        <v>40</v>
      </c>
      <c r="D84" s="165" t="s">
        <v>46</v>
      </c>
      <c r="E84" s="165" t="s">
        <v>47</v>
      </c>
      <c r="F84" s="165" t="s">
        <v>48</v>
      </c>
      <c r="G84" s="165" t="s">
        <v>49</v>
      </c>
      <c r="H84" s="165" t="s">
        <v>50</v>
      </c>
      <c r="J84" s="205" t="s">
        <v>116</v>
      </c>
      <c r="K84" s="205" t="s">
        <v>120</v>
      </c>
      <c r="L84" s="205" t="s">
        <v>121</v>
      </c>
      <c r="M84" s="205" t="s">
        <v>117</v>
      </c>
      <c r="N84" s="205" t="s">
        <v>118</v>
      </c>
      <c r="O84" s="205" t="s">
        <v>119</v>
      </c>
      <c r="Q84" s="206" t="s">
        <v>105</v>
      </c>
      <c r="R84" s="206" t="s">
        <v>112</v>
      </c>
      <c r="S84" s="206" t="s">
        <v>123</v>
      </c>
      <c r="T84" s="206" t="s">
        <v>114</v>
      </c>
      <c r="U84" s="206" t="s">
        <v>115</v>
      </c>
      <c r="V84" s="206" t="s">
        <v>106</v>
      </c>
      <c r="X84" s="210" t="s">
        <v>107</v>
      </c>
      <c r="Y84" s="207" t="s">
        <v>108</v>
      </c>
      <c r="Z84" s="207" t="s">
        <v>109</v>
      </c>
      <c r="AA84" s="207" t="s">
        <v>110</v>
      </c>
      <c r="AB84" s="209" t="s">
        <v>122</v>
      </c>
      <c r="AC84" s="211"/>
      <c r="AE84" s="212" t="s">
        <v>124</v>
      </c>
      <c r="AF84" s="208" t="s">
        <v>125</v>
      </c>
      <c r="AG84" s="208" t="s">
        <v>126</v>
      </c>
      <c r="AH84" s="213" t="s">
        <v>127</v>
      </c>
      <c r="AI84" s="211"/>
      <c r="AJ84" s="211"/>
      <c r="AL84" s="89" t="s">
        <v>128</v>
      </c>
      <c r="AM84" s="89" t="s">
        <v>129</v>
      </c>
      <c r="AN84" s="89" t="s">
        <v>131</v>
      </c>
      <c r="AO84" s="89" t="s">
        <v>130</v>
      </c>
      <c r="AP84" s="211"/>
      <c r="AQ84" s="211"/>
      <c r="AS84" s="207" t="s">
        <v>52</v>
      </c>
      <c r="AT84" s="207" t="s">
        <v>57</v>
      </c>
      <c r="AU84" s="207" t="s">
        <v>51</v>
      </c>
      <c r="AV84" s="207" t="s">
        <v>53</v>
      </c>
      <c r="AW84" s="207" t="s">
        <v>54</v>
      </c>
      <c r="AX84" s="207" t="s">
        <v>55</v>
      </c>
      <c r="AY84" s="209" t="s">
        <v>104</v>
      </c>
      <c r="AZ84" s="214"/>
    </row>
    <row r="85" spans="1:52" ht="19" x14ac:dyDescent="0.25">
      <c r="B85" s="2" t="s">
        <v>83</v>
      </c>
    </row>
    <row r="86" spans="1:52" x14ac:dyDescent="0.2">
      <c r="A86">
        <f>' selon Dptr et formule'!C42</f>
        <v>0</v>
      </c>
      <c r="B86" t="s">
        <v>60</v>
      </c>
    </row>
    <row r="87" spans="1:52" x14ac:dyDescent="0.2">
      <c r="A87">
        <f>' selon Dptr et formule'!C43</f>
        <v>0</v>
      </c>
      <c r="B87" t="s">
        <v>61</v>
      </c>
    </row>
    <row r="88" spans="1:52" x14ac:dyDescent="0.2">
      <c r="A88">
        <f>' selon Dptr et formule'!C44</f>
        <v>0</v>
      </c>
      <c r="B88" t="s">
        <v>62</v>
      </c>
    </row>
    <row r="89" spans="1:52" x14ac:dyDescent="0.2">
      <c r="A89">
        <f>' selon Dptr et formule'!C45</f>
        <v>0</v>
      </c>
      <c r="B89" t="s">
        <v>63</v>
      </c>
    </row>
    <row r="90" spans="1:52" x14ac:dyDescent="0.2">
      <c r="A90">
        <f>' selon Dptr et formule'!C46</f>
        <v>0</v>
      </c>
      <c r="B90" t="s">
        <v>64</v>
      </c>
    </row>
    <row r="91" spans="1:52" x14ac:dyDescent="0.2">
      <c r="A91">
        <f>' selon Dptr et formule'!C47</f>
        <v>0</v>
      </c>
      <c r="B91" t="s">
        <v>65</v>
      </c>
    </row>
    <row r="92" spans="1:52" x14ac:dyDescent="0.2">
      <c r="A92">
        <f>' selon Dptr et formule'!C48</f>
        <v>0</v>
      </c>
      <c r="B92" t="s">
        <v>66</v>
      </c>
    </row>
    <row r="93" spans="1:52" x14ac:dyDescent="0.2">
      <c r="A93">
        <f>' selon Dptr et formule'!C49</f>
        <v>0</v>
      </c>
      <c r="B93" t="s">
        <v>67</v>
      </c>
    </row>
    <row r="94" spans="1:52" x14ac:dyDescent="0.2">
      <c r="A94">
        <f>' selon Dptr et formule'!C50</f>
        <v>0</v>
      </c>
      <c r="B94" t="s">
        <v>68</v>
      </c>
    </row>
  </sheetData>
  <pageMargins left="0.7" right="0.7" top="0.75" bottom="0.75" header="0.3" footer="0.3"/>
  <pageSetup paperSize="9" orientation="portrait" horizontalDpi="0" verticalDpi="0" r:id="rId1"/>
  <ignoredErrors>
    <ignoredError sqref="E7:H7 C7:D7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73"/>
  <sheetViews>
    <sheetView topLeftCell="B1" zoomScale="85" zoomScaleNormal="85" workbookViewId="0">
      <selection activeCell="B32" activeCellId="3" sqref="A2:XFD2 A12:XFD12 A22:XFD22 A32:XFD32"/>
    </sheetView>
  </sheetViews>
  <sheetFormatPr baseColWidth="10" defaultRowHeight="15" x14ac:dyDescent="0.2"/>
  <cols>
    <col min="1" max="1" width="12.83203125" bestFit="1" customWidth="1"/>
    <col min="2" max="2" width="19.33203125" bestFit="1" customWidth="1"/>
    <col min="9" max="9" width="12.83203125" bestFit="1" customWidth="1"/>
    <col min="16" max="16" width="12.83203125" bestFit="1" customWidth="1"/>
    <col min="23" max="23" width="12.83203125" bestFit="1" customWidth="1"/>
    <col min="24" max="29" width="10.5" customWidth="1"/>
    <col min="30" max="30" width="12.83203125" bestFit="1" customWidth="1"/>
    <col min="37" max="37" width="12.83203125" bestFit="1" customWidth="1"/>
    <col min="44" max="44" width="12.83203125" bestFit="1" customWidth="1"/>
    <col min="45" max="50" width="10.6640625" customWidth="1"/>
    <col min="51" max="51" width="10.1640625" customWidth="1"/>
  </cols>
  <sheetData>
    <row r="1" spans="1:51" ht="16" thickBot="1" x14ac:dyDescent="0.25"/>
    <row r="2" spans="1:51" ht="49" thickBot="1" x14ac:dyDescent="0.25">
      <c r="C2" s="164" t="s">
        <v>40</v>
      </c>
      <c r="D2" s="165" t="s">
        <v>46</v>
      </c>
      <c r="E2" s="165" t="s">
        <v>47</v>
      </c>
      <c r="F2" s="165" t="s">
        <v>48</v>
      </c>
      <c r="G2" s="165" t="s">
        <v>49</v>
      </c>
      <c r="H2" s="165" t="s">
        <v>50</v>
      </c>
      <c r="J2" s="205" t="s">
        <v>116</v>
      </c>
      <c r="K2" s="205" t="s">
        <v>120</v>
      </c>
      <c r="L2" s="205" t="s">
        <v>121</v>
      </c>
      <c r="M2" s="205" t="s">
        <v>117</v>
      </c>
      <c r="N2" s="205" t="s">
        <v>118</v>
      </c>
      <c r="O2" s="205" t="s">
        <v>119</v>
      </c>
      <c r="Q2" s="206" t="s">
        <v>105</v>
      </c>
      <c r="R2" s="206" t="s">
        <v>112</v>
      </c>
      <c r="S2" s="206" t="s">
        <v>123</v>
      </c>
      <c r="T2" s="206" t="s">
        <v>114</v>
      </c>
      <c r="U2" s="206" t="s">
        <v>115</v>
      </c>
      <c r="V2" s="206" t="s">
        <v>106</v>
      </c>
      <c r="X2" s="210" t="s">
        <v>107</v>
      </c>
      <c r="Y2" s="207" t="s">
        <v>108</v>
      </c>
      <c r="Z2" s="207" t="s">
        <v>109</v>
      </c>
      <c r="AA2" s="207" t="s">
        <v>110</v>
      </c>
      <c r="AB2" s="209" t="s">
        <v>122</v>
      </c>
      <c r="AC2" s="211"/>
      <c r="AE2" s="212" t="s">
        <v>124</v>
      </c>
      <c r="AF2" s="208" t="s">
        <v>125</v>
      </c>
      <c r="AG2" s="208" t="s">
        <v>126</v>
      </c>
      <c r="AH2" s="213" t="s">
        <v>127</v>
      </c>
      <c r="AI2" s="211"/>
      <c r="AJ2" s="211"/>
      <c r="AL2" s="89" t="s">
        <v>128</v>
      </c>
      <c r="AM2" s="89" t="s">
        <v>129</v>
      </c>
      <c r="AN2" s="89" t="s">
        <v>131</v>
      </c>
      <c r="AO2" s="89" t="s">
        <v>130</v>
      </c>
      <c r="AP2" s="211"/>
      <c r="AQ2" s="211"/>
      <c r="AS2" s="207" t="s">
        <v>52</v>
      </c>
      <c r="AT2" s="207" t="s">
        <v>57</v>
      </c>
      <c r="AU2" s="207" t="s">
        <v>51</v>
      </c>
      <c r="AV2" s="207" t="s">
        <v>53</v>
      </c>
      <c r="AW2" s="207" t="s">
        <v>54</v>
      </c>
      <c r="AX2" s="207" t="s">
        <v>55</v>
      </c>
      <c r="AY2" s="209" t="s">
        <v>104</v>
      </c>
    </row>
    <row r="3" spans="1:51" ht="19" x14ac:dyDescent="0.25">
      <c r="B3" s="2" t="s">
        <v>72</v>
      </c>
      <c r="I3" s="2"/>
      <c r="P3" s="2"/>
      <c r="W3" s="2"/>
      <c r="AD3" s="2"/>
      <c r="AK3" s="2"/>
      <c r="AR3" s="2"/>
    </row>
    <row r="4" spans="1:51" ht="19" x14ac:dyDescent="0.25">
      <c r="A4" s="2"/>
      <c r="B4" t="s">
        <v>132</v>
      </c>
      <c r="C4">
        <f>' typ oeil  formulle'!C4</f>
        <v>0</v>
      </c>
      <c r="D4">
        <f>' typ oeil  formulle'!D4</f>
        <v>0</v>
      </c>
      <c r="E4">
        <f>' typ oeil  formulle'!E4</f>
        <v>0</v>
      </c>
      <c r="F4">
        <f>' typ oeil  formulle'!F4</f>
        <v>0</v>
      </c>
      <c r="G4">
        <f>' typ oeil  formulle'!G4</f>
        <v>0</v>
      </c>
      <c r="H4">
        <f>' typ oeil  formulle'!H4</f>
        <v>0</v>
      </c>
      <c r="I4" t="str">
        <f>' typ oeil  formulle'!I4</f>
        <v>&gt;+1,0</v>
      </c>
      <c r="J4">
        <f>' typ oeil  formulle'!J4</f>
        <v>0</v>
      </c>
      <c r="K4">
        <f>' typ oeil  formulle'!K4</f>
        <v>0</v>
      </c>
      <c r="L4">
        <f>' typ oeil  formulle'!L4</f>
        <v>0</v>
      </c>
      <c r="M4">
        <f>' typ oeil  formulle'!M4</f>
        <v>0</v>
      </c>
      <c r="N4">
        <f>' typ oeil  formulle'!N4</f>
        <v>0</v>
      </c>
      <c r="O4">
        <f>' typ oeil  formulle'!O4</f>
        <v>0</v>
      </c>
      <c r="P4" t="str">
        <f>' typ oeil  formulle'!P4</f>
        <v>&gt;+1,0</v>
      </c>
      <c r="Q4">
        <f>' typ oeil  formulle'!Q4</f>
        <v>0</v>
      </c>
      <c r="R4">
        <f>' typ oeil  formulle'!R4</f>
        <v>0</v>
      </c>
      <c r="S4">
        <f>' typ oeil  formulle'!S4</f>
        <v>0</v>
      </c>
      <c r="T4">
        <f>' typ oeil  formulle'!T4</f>
        <v>0</v>
      </c>
      <c r="U4">
        <f>' typ oeil  formulle'!U4</f>
        <v>0</v>
      </c>
      <c r="V4">
        <f>' typ oeil  formulle'!V4</f>
        <v>0</v>
      </c>
      <c r="W4" t="str">
        <f>' typ oeil  formulle'!W4</f>
        <v>&gt;+1,0</v>
      </c>
      <c r="X4">
        <f>' typ oeil  formulle'!X4</f>
        <v>0</v>
      </c>
      <c r="Y4">
        <f>' typ oeil  formulle'!Y4</f>
        <v>0</v>
      </c>
      <c r="Z4">
        <f>' typ oeil  formulle'!Z4</f>
        <v>0</v>
      </c>
      <c r="AA4">
        <f>' typ oeil  formulle'!AA4</f>
        <v>0</v>
      </c>
      <c r="AB4">
        <f>' typ oeil  formulle'!AB4</f>
        <v>0</v>
      </c>
      <c r="AC4">
        <f>' typ oeil  formulle'!AC4</f>
        <v>0</v>
      </c>
      <c r="AD4" t="str">
        <f>' typ oeil  formulle'!AD4</f>
        <v>&gt;+1,0</v>
      </c>
      <c r="AE4">
        <f>' typ oeil  formulle'!AE4</f>
        <v>0</v>
      </c>
      <c r="AF4">
        <f>' typ oeil  formulle'!AF4</f>
        <v>0</v>
      </c>
      <c r="AG4">
        <f>' typ oeil  formulle'!AG4</f>
        <v>0</v>
      </c>
      <c r="AH4">
        <f>' typ oeil  formulle'!AH4</f>
        <v>0</v>
      </c>
      <c r="AI4">
        <f>' typ oeil  formulle'!AI4</f>
        <v>0</v>
      </c>
      <c r="AJ4">
        <f>' typ oeil  formulle'!AJ4</f>
        <v>0</v>
      </c>
      <c r="AK4" t="str">
        <f>' typ oeil  formulle'!AK4</f>
        <v>&gt;+1,0</v>
      </c>
      <c r="AL4">
        <f>' typ oeil  formulle'!AL4</f>
        <v>0</v>
      </c>
      <c r="AM4">
        <f>' typ oeil  formulle'!AM4</f>
        <v>0</v>
      </c>
      <c r="AN4">
        <f>' typ oeil  formulle'!AN4</f>
        <v>0</v>
      </c>
      <c r="AO4">
        <f>' typ oeil  formulle'!AO4</f>
        <v>0</v>
      </c>
      <c r="AP4">
        <f>' typ oeil  formulle'!AP4</f>
        <v>0</v>
      </c>
      <c r="AQ4">
        <f>' typ oeil  formulle'!AQ4</f>
        <v>0</v>
      </c>
      <c r="AR4" t="str">
        <f>' typ oeil  formulle'!AR4</f>
        <v>&gt;+1,0</v>
      </c>
      <c r="AS4">
        <f>' typ oeil  formulle'!AS4</f>
        <v>0</v>
      </c>
      <c r="AT4">
        <f>' typ oeil  formulle'!AT4</f>
        <v>0</v>
      </c>
      <c r="AU4">
        <f>' typ oeil  formulle'!AU4</f>
        <v>0</v>
      </c>
      <c r="AV4">
        <f>' typ oeil  formulle'!AV4</f>
        <v>0</v>
      </c>
      <c r="AW4">
        <f>' typ oeil  formulle'!AW4</f>
        <v>0</v>
      </c>
      <c r="AX4">
        <f>' typ oeil  formulle'!AX4</f>
        <v>0</v>
      </c>
      <c r="AY4">
        <f>' typ oeil  formulle'!AY4</f>
        <v>0</v>
      </c>
    </row>
    <row r="5" spans="1:51" ht="19" x14ac:dyDescent="0.25">
      <c r="A5" s="2"/>
      <c r="B5" t="s">
        <v>133</v>
      </c>
      <c r="C5">
        <f>' typ oeil  formulle'!C5</f>
        <v>0</v>
      </c>
      <c r="D5">
        <f>' typ oeil  formulle'!D5</f>
        <v>0</v>
      </c>
      <c r="E5">
        <f>' typ oeil  formulle'!E5</f>
        <v>0</v>
      </c>
      <c r="F5">
        <f>' typ oeil  formulle'!F5</f>
        <v>0</v>
      </c>
      <c r="G5">
        <f>' typ oeil  formulle'!G5</f>
        <v>0</v>
      </c>
      <c r="H5">
        <f>' typ oeil  formulle'!H5</f>
        <v>0</v>
      </c>
      <c r="I5" t="str">
        <f>' typ oeil  formulle'!I5</f>
        <v xml:space="preserve"> +1,0 à +0,76</v>
      </c>
      <c r="J5">
        <f>' typ oeil  formulle'!J5</f>
        <v>0</v>
      </c>
      <c r="K5">
        <f>' typ oeil  formulle'!K5</f>
        <v>0</v>
      </c>
      <c r="L5">
        <f>' typ oeil  formulle'!L5</f>
        <v>0</v>
      </c>
      <c r="M5">
        <f>' typ oeil  formulle'!M5</f>
        <v>0</v>
      </c>
      <c r="N5">
        <f>' typ oeil  formulle'!N5</f>
        <v>0</v>
      </c>
      <c r="O5">
        <f>' typ oeil  formulle'!O5</f>
        <v>0</v>
      </c>
      <c r="P5" t="str">
        <f>' typ oeil  formulle'!P5</f>
        <v xml:space="preserve"> +1,0 à +0,76</v>
      </c>
      <c r="Q5">
        <f>' typ oeil  formulle'!Q5</f>
        <v>0</v>
      </c>
      <c r="R5">
        <f>' typ oeil  formulle'!R5</f>
        <v>0</v>
      </c>
      <c r="S5">
        <f>' typ oeil  formulle'!S5</f>
        <v>0</v>
      </c>
      <c r="T5">
        <f>' typ oeil  formulle'!T5</f>
        <v>0</v>
      </c>
      <c r="U5">
        <f>' typ oeil  formulle'!U5</f>
        <v>0</v>
      </c>
      <c r="V5">
        <f>' typ oeil  formulle'!V5</f>
        <v>0</v>
      </c>
      <c r="W5" t="str">
        <f>' typ oeil  formulle'!W5</f>
        <v xml:space="preserve"> +1,0 à +0,76</v>
      </c>
      <c r="X5">
        <f>' typ oeil  formulle'!X5</f>
        <v>0</v>
      </c>
      <c r="Y5">
        <f>' typ oeil  formulle'!Y5</f>
        <v>0</v>
      </c>
      <c r="Z5">
        <f>' typ oeil  formulle'!Z5</f>
        <v>0</v>
      </c>
      <c r="AA5">
        <f>' typ oeil  formulle'!AA5</f>
        <v>0</v>
      </c>
      <c r="AB5">
        <f>' typ oeil  formulle'!AB5</f>
        <v>0</v>
      </c>
      <c r="AC5">
        <f>' typ oeil  formulle'!AC5</f>
        <v>0</v>
      </c>
      <c r="AD5" t="str">
        <f>' typ oeil  formulle'!AD5</f>
        <v xml:space="preserve"> +1,0 à +0,76</v>
      </c>
      <c r="AE5">
        <f>' typ oeil  formulle'!AE5</f>
        <v>0</v>
      </c>
      <c r="AF5">
        <f>' typ oeil  formulle'!AF5</f>
        <v>0</v>
      </c>
      <c r="AG5">
        <f>' typ oeil  formulle'!AG5</f>
        <v>0</v>
      </c>
      <c r="AH5">
        <f>' typ oeil  formulle'!AH5</f>
        <v>0</v>
      </c>
      <c r="AI5">
        <f>' typ oeil  formulle'!AI5</f>
        <v>0</v>
      </c>
      <c r="AJ5">
        <f>' typ oeil  formulle'!AJ5</f>
        <v>0</v>
      </c>
      <c r="AK5" t="str">
        <f>' typ oeil  formulle'!AK5</f>
        <v xml:space="preserve"> +1,0 à +0,76</v>
      </c>
      <c r="AL5">
        <f>' typ oeil  formulle'!AL5</f>
        <v>0</v>
      </c>
      <c r="AM5">
        <f>' typ oeil  formulle'!AM5</f>
        <v>0</v>
      </c>
      <c r="AN5">
        <f>' typ oeil  formulle'!AN5</f>
        <v>0</v>
      </c>
      <c r="AO5">
        <f>' typ oeil  formulle'!AO5</f>
        <v>0</v>
      </c>
      <c r="AP5">
        <f>' typ oeil  formulle'!AP5</f>
        <v>0</v>
      </c>
      <c r="AQ5">
        <f>' typ oeil  formulle'!AQ5</f>
        <v>0</v>
      </c>
      <c r="AR5" t="str">
        <f>' typ oeil  formulle'!AR5</f>
        <v xml:space="preserve"> +1,0 à +0,76</v>
      </c>
      <c r="AS5">
        <f>' typ oeil  formulle'!AS5</f>
        <v>0</v>
      </c>
      <c r="AT5">
        <f>' typ oeil  formulle'!AT5</f>
        <v>0</v>
      </c>
      <c r="AU5">
        <f>' typ oeil  formulle'!AU5</f>
        <v>0</v>
      </c>
      <c r="AV5">
        <f>' typ oeil  formulle'!AV5</f>
        <v>0</v>
      </c>
      <c r="AW5">
        <f>' typ oeil  formulle'!AW5</f>
        <v>0</v>
      </c>
      <c r="AX5">
        <f>' typ oeil  formulle'!AX5</f>
        <v>0</v>
      </c>
      <c r="AY5">
        <f>' typ oeil  formulle'!AY5</f>
        <v>0</v>
      </c>
    </row>
    <row r="6" spans="1:51" ht="19" x14ac:dyDescent="0.25">
      <c r="A6" s="2"/>
      <c r="B6" t="s">
        <v>134</v>
      </c>
      <c r="C6">
        <f>' typ oeil  formulle'!C6</f>
        <v>0</v>
      </c>
      <c r="D6">
        <f>' typ oeil  formulle'!D6</f>
        <v>0</v>
      </c>
      <c r="E6">
        <f>' typ oeil  formulle'!E6</f>
        <v>0</v>
      </c>
      <c r="F6">
        <f>' typ oeil  formulle'!F6</f>
        <v>0</v>
      </c>
      <c r="G6">
        <f>' typ oeil  formulle'!G6</f>
        <v>0</v>
      </c>
      <c r="H6">
        <f>' typ oeil  formulle'!H6</f>
        <v>0</v>
      </c>
      <c r="I6" t="str">
        <f>' typ oeil  formulle'!I6</f>
        <v xml:space="preserve"> +0,75 à +0,51</v>
      </c>
      <c r="J6">
        <f>' typ oeil  formulle'!J6</f>
        <v>0</v>
      </c>
      <c r="K6">
        <f>' typ oeil  formulle'!K6</f>
        <v>0</v>
      </c>
      <c r="L6">
        <f>' typ oeil  formulle'!L6</f>
        <v>0</v>
      </c>
      <c r="M6">
        <f>' typ oeil  formulle'!M6</f>
        <v>0</v>
      </c>
      <c r="N6">
        <f>' typ oeil  formulle'!N6</f>
        <v>0</v>
      </c>
      <c r="O6">
        <f>' typ oeil  formulle'!O6</f>
        <v>0</v>
      </c>
      <c r="P6" t="str">
        <f>' typ oeil  formulle'!P6</f>
        <v xml:space="preserve"> +0,75 à +0,51</v>
      </c>
      <c r="Q6">
        <f>' typ oeil  formulle'!Q6</f>
        <v>0</v>
      </c>
      <c r="R6">
        <f>' typ oeil  formulle'!R6</f>
        <v>0</v>
      </c>
      <c r="S6">
        <f>' typ oeil  formulle'!S6</f>
        <v>0</v>
      </c>
      <c r="T6">
        <f>' typ oeil  formulle'!T6</f>
        <v>0</v>
      </c>
      <c r="U6">
        <f>' typ oeil  formulle'!U6</f>
        <v>0</v>
      </c>
      <c r="V6">
        <f>' typ oeil  formulle'!V6</f>
        <v>0</v>
      </c>
      <c r="W6" t="str">
        <f>' typ oeil  formulle'!W6</f>
        <v xml:space="preserve"> +0,75 à +0,51</v>
      </c>
      <c r="X6">
        <f>' typ oeil  formulle'!X6</f>
        <v>0</v>
      </c>
      <c r="Y6">
        <f>' typ oeil  formulle'!Y6</f>
        <v>0</v>
      </c>
      <c r="Z6">
        <f>' typ oeil  formulle'!Z6</f>
        <v>0</v>
      </c>
      <c r="AA6">
        <f>' typ oeil  formulle'!AA6</f>
        <v>0</v>
      </c>
      <c r="AB6">
        <f>' typ oeil  formulle'!AB6</f>
        <v>0</v>
      </c>
      <c r="AC6">
        <f>' typ oeil  formulle'!AC6</f>
        <v>0</v>
      </c>
      <c r="AD6" t="str">
        <f>' typ oeil  formulle'!AD6</f>
        <v xml:space="preserve"> +0,75 à +0,51</v>
      </c>
      <c r="AE6">
        <f>' typ oeil  formulle'!AE6</f>
        <v>0</v>
      </c>
      <c r="AF6">
        <f>' typ oeil  formulle'!AF6</f>
        <v>0</v>
      </c>
      <c r="AG6">
        <f>' typ oeil  formulle'!AG6</f>
        <v>0</v>
      </c>
      <c r="AH6">
        <f>' typ oeil  formulle'!AH6</f>
        <v>0</v>
      </c>
      <c r="AI6">
        <f>' typ oeil  formulle'!AI6</f>
        <v>0</v>
      </c>
      <c r="AJ6">
        <f>' typ oeil  formulle'!AJ6</f>
        <v>0</v>
      </c>
      <c r="AK6" t="str">
        <f>' typ oeil  formulle'!AK6</f>
        <v xml:space="preserve"> +0,75 à +0,51</v>
      </c>
      <c r="AL6">
        <f>' typ oeil  formulle'!AL6</f>
        <v>0</v>
      </c>
      <c r="AM6">
        <f>' typ oeil  formulle'!AM6</f>
        <v>0</v>
      </c>
      <c r="AN6">
        <f>' typ oeil  formulle'!AN6</f>
        <v>0</v>
      </c>
      <c r="AO6">
        <f>' typ oeil  formulle'!AO6</f>
        <v>0</v>
      </c>
      <c r="AP6">
        <f>' typ oeil  formulle'!AP6</f>
        <v>0</v>
      </c>
      <c r="AQ6">
        <f>' typ oeil  formulle'!AQ6</f>
        <v>0</v>
      </c>
      <c r="AR6" t="str">
        <f>' typ oeil  formulle'!AR6</f>
        <v xml:space="preserve"> +0,75 à +0,51</v>
      </c>
      <c r="AS6">
        <f>' typ oeil  formulle'!AS6</f>
        <v>0</v>
      </c>
      <c r="AT6">
        <f>' typ oeil  formulle'!AT6</f>
        <v>0</v>
      </c>
      <c r="AU6">
        <f>' typ oeil  formulle'!AU6</f>
        <v>0</v>
      </c>
      <c r="AV6">
        <f>' typ oeil  formulle'!AV6</f>
        <v>0</v>
      </c>
      <c r="AW6">
        <f>' typ oeil  formulle'!AW6</f>
        <v>0</v>
      </c>
      <c r="AX6">
        <f>' typ oeil  formulle'!AX6</f>
        <v>0</v>
      </c>
      <c r="AY6">
        <f>' typ oeil  formulle'!AY6</f>
        <v>0</v>
      </c>
    </row>
    <row r="7" spans="1:51" ht="19" x14ac:dyDescent="0.25">
      <c r="A7" s="2"/>
      <c r="B7" t="s">
        <v>135</v>
      </c>
      <c r="C7">
        <f>' typ oeil  formulle'!C7</f>
        <v>0</v>
      </c>
      <c r="D7">
        <f>' typ oeil  formulle'!D7</f>
        <v>0</v>
      </c>
      <c r="E7">
        <f>' typ oeil  formulle'!E7</f>
        <v>0</v>
      </c>
      <c r="F7">
        <f>' typ oeil  formulle'!F7</f>
        <v>0</v>
      </c>
      <c r="G7">
        <f>' typ oeil  formulle'!G7</f>
        <v>0</v>
      </c>
      <c r="H7">
        <f>' typ oeil  formulle'!H7</f>
        <v>0</v>
      </c>
      <c r="I7" t="str">
        <f>' typ oeil  formulle'!I7</f>
        <v xml:space="preserve"> +0,50 à +0,26</v>
      </c>
      <c r="J7">
        <f>' typ oeil  formulle'!J7</f>
        <v>0</v>
      </c>
      <c r="K7">
        <f>' typ oeil  formulle'!K7</f>
        <v>0</v>
      </c>
      <c r="L7">
        <f>' typ oeil  formulle'!L7</f>
        <v>0</v>
      </c>
      <c r="M7">
        <f>' typ oeil  formulle'!M7</f>
        <v>0</v>
      </c>
      <c r="N7">
        <f>' typ oeil  formulle'!N7</f>
        <v>0</v>
      </c>
      <c r="O7">
        <f>' typ oeil  formulle'!O7</f>
        <v>0</v>
      </c>
      <c r="P7" t="str">
        <f>' typ oeil  formulle'!P7</f>
        <v xml:space="preserve"> +0,50 à +0,26</v>
      </c>
      <c r="Q7">
        <f>' typ oeil  formulle'!Q7</f>
        <v>0</v>
      </c>
      <c r="R7">
        <f>' typ oeil  formulle'!R7</f>
        <v>0</v>
      </c>
      <c r="S7">
        <f>' typ oeil  formulle'!S7</f>
        <v>0</v>
      </c>
      <c r="T7">
        <f>' typ oeil  formulle'!T7</f>
        <v>0</v>
      </c>
      <c r="U7">
        <f>' typ oeil  formulle'!U7</f>
        <v>0</v>
      </c>
      <c r="V7">
        <f>' typ oeil  formulle'!V7</f>
        <v>0</v>
      </c>
      <c r="W7" t="str">
        <f>' typ oeil  formulle'!W7</f>
        <v xml:space="preserve"> +0,50 à +0,26</v>
      </c>
      <c r="X7">
        <f>' typ oeil  formulle'!X7</f>
        <v>0</v>
      </c>
      <c r="Y7">
        <f>' typ oeil  formulle'!Y7</f>
        <v>0</v>
      </c>
      <c r="Z7">
        <f>' typ oeil  formulle'!Z7</f>
        <v>0</v>
      </c>
      <c r="AA7">
        <f>' typ oeil  formulle'!AA7</f>
        <v>0</v>
      </c>
      <c r="AB7">
        <f>' typ oeil  formulle'!AB7</f>
        <v>0</v>
      </c>
      <c r="AC7">
        <f>' typ oeil  formulle'!AC7</f>
        <v>0</v>
      </c>
      <c r="AD7" t="str">
        <f>' typ oeil  formulle'!AD7</f>
        <v xml:space="preserve"> +0,50 à +0,26</v>
      </c>
      <c r="AE7">
        <f>' typ oeil  formulle'!AE7</f>
        <v>0</v>
      </c>
      <c r="AF7">
        <f>' typ oeil  formulle'!AF7</f>
        <v>0</v>
      </c>
      <c r="AG7">
        <f>' typ oeil  formulle'!AG7</f>
        <v>0</v>
      </c>
      <c r="AH7">
        <f>' typ oeil  formulle'!AH7</f>
        <v>0</v>
      </c>
      <c r="AI7">
        <f>' typ oeil  formulle'!AI7</f>
        <v>0</v>
      </c>
      <c r="AJ7">
        <f>' typ oeil  formulle'!AJ7</f>
        <v>0</v>
      </c>
      <c r="AK7" t="str">
        <f>' typ oeil  formulle'!AK7</f>
        <v xml:space="preserve"> +0,50 à +0,26</v>
      </c>
      <c r="AL7">
        <f>' typ oeil  formulle'!AL7</f>
        <v>0</v>
      </c>
      <c r="AM7">
        <f>' typ oeil  formulle'!AM7</f>
        <v>0</v>
      </c>
      <c r="AN7">
        <f>' typ oeil  formulle'!AN7</f>
        <v>0</v>
      </c>
      <c r="AO7">
        <f>' typ oeil  formulle'!AO7</f>
        <v>0</v>
      </c>
      <c r="AP7">
        <f>' typ oeil  formulle'!AP7</f>
        <v>0</v>
      </c>
      <c r="AQ7">
        <f>' typ oeil  formulle'!AQ7</f>
        <v>0</v>
      </c>
      <c r="AR7" t="str">
        <f>' typ oeil  formulle'!AR7</f>
        <v xml:space="preserve"> +0,50 à +0,26</v>
      </c>
      <c r="AS7">
        <f>' typ oeil  formulle'!AS7</f>
        <v>0</v>
      </c>
      <c r="AT7">
        <f>' typ oeil  formulle'!AT7</f>
        <v>0</v>
      </c>
      <c r="AU7">
        <f>' typ oeil  formulle'!AU7</f>
        <v>0</v>
      </c>
      <c r="AV7">
        <f>' typ oeil  formulle'!AV7</f>
        <v>0</v>
      </c>
      <c r="AW7">
        <f>' typ oeil  formulle'!AW7</f>
        <v>0</v>
      </c>
      <c r="AX7">
        <f>' typ oeil  formulle'!AX7</f>
        <v>0</v>
      </c>
      <c r="AY7">
        <f>' typ oeil  formulle'!AY7</f>
        <v>0</v>
      </c>
    </row>
    <row r="8" spans="1:51" ht="19" x14ac:dyDescent="0.25">
      <c r="A8" s="2"/>
      <c r="B8" t="s">
        <v>136</v>
      </c>
      <c r="C8">
        <f>' typ oeil  formulle'!C8</f>
        <v>0</v>
      </c>
      <c r="D8">
        <f>' typ oeil  formulle'!D8</f>
        <v>0</v>
      </c>
      <c r="E8">
        <f>' typ oeil  formulle'!E8</f>
        <v>0</v>
      </c>
      <c r="F8">
        <f>' typ oeil  formulle'!F8</f>
        <v>0</v>
      </c>
      <c r="G8">
        <f>' typ oeil  formulle'!G8</f>
        <v>0</v>
      </c>
      <c r="H8">
        <f>' typ oeil  formulle'!H8</f>
        <v>0</v>
      </c>
      <c r="I8" t="str">
        <f>' typ oeil  formulle'!I8</f>
        <v xml:space="preserve"> +0,25 à -0,25</v>
      </c>
      <c r="J8">
        <f>' typ oeil  formulle'!J8</f>
        <v>0</v>
      </c>
      <c r="K8">
        <f>' typ oeil  formulle'!K8</f>
        <v>0</v>
      </c>
      <c r="L8">
        <f>' typ oeil  formulle'!L8</f>
        <v>0</v>
      </c>
      <c r="M8">
        <f>' typ oeil  formulle'!M8</f>
        <v>0</v>
      </c>
      <c r="N8">
        <f>' typ oeil  formulle'!N8</f>
        <v>0</v>
      </c>
      <c r="O8">
        <f>' typ oeil  formulle'!O8</f>
        <v>0</v>
      </c>
      <c r="P8" t="str">
        <f>' typ oeil  formulle'!P8</f>
        <v xml:space="preserve"> +0,25 à -0,25</v>
      </c>
      <c r="Q8">
        <f>' typ oeil  formulle'!Q8</f>
        <v>0</v>
      </c>
      <c r="R8">
        <f>' typ oeil  formulle'!R8</f>
        <v>0</v>
      </c>
      <c r="S8">
        <f>' typ oeil  formulle'!S8</f>
        <v>0</v>
      </c>
      <c r="T8">
        <f>' typ oeil  formulle'!T8</f>
        <v>0</v>
      </c>
      <c r="U8">
        <f>' typ oeil  formulle'!U8</f>
        <v>0</v>
      </c>
      <c r="V8">
        <f>' typ oeil  formulle'!V8</f>
        <v>0</v>
      </c>
      <c r="W8" t="str">
        <f>' typ oeil  formulle'!W8</f>
        <v xml:space="preserve"> +0,25 à -0,25</v>
      </c>
      <c r="X8">
        <f>' typ oeil  formulle'!X8</f>
        <v>0</v>
      </c>
      <c r="Y8">
        <f>' typ oeil  formulle'!Y8</f>
        <v>0</v>
      </c>
      <c r="Z8">
        <f>' typ oeil  formulle'!Z8</f>
        <v>0</v>
      </c>
      <c r="AA8">
        <f>' typ oeil  formulle'!AA8</f>
        <v>0</v>
      </c>
      <c r="AB8">
        <f>' typ oeil  formulle'!AB8</f>
        <v>0</v>
      </c>
      <c r="AC8">
        <f>' typ oeil  formulle'!AC8</f>
        <v>0</v>
      </c>
      <c r="AD8" t="str">
        <f>' typ oeil  formulle'!AD8</f>
        <v xml:space="preserve"> +0,25 à -0,25</v>
      </c>
      <c r="AE8">
        <f>' typ oeil  formulle'!AE8</f>
        <v>0</v>
      </c>
      <c r="AF8">
        <f>' typ oeil  formulle'!AF8</f>
        <v>0</v>
      </c>
      <c r="AG8">
        <f>' typ oeil  formulle'!AG8</f>
        <v>0</v>
      </c>
      <c r="AH8">
        <f>' typ oeil  formulle'!AH8</f>
        <v>0</v>
      </c>
      <c r="AI8">
        <f>' typ oeil  formulle'!AI8</f>
        <v>0</v>
      </c>
      <c r="AJ8">
        <f>' typ oeil  formulle'!AJ8</f>
        <v>0</v>
      </c>
      <c r="AK8" t="str">
        <f>' typ oeil  formulle'!AK8</f>
        <v xml:space="preserve"> +0,25 à -0,25</v>
      </c>
      <c r="AL8">
        <f>' typ oeil  formulle'!AL8</f>
        <v>0</v>
      </c>
      <c r="AM8">
        <f>' typ oeil  formulle'!AM8</f>
        <v>0</v>
      </c>
      <c r="AN8">
        <f>' typ oeil  formulle'!AN8</f>
        <v>0</v>
      </c>
      <c r="AO8">
        <f>' typ oeil  formulle'!AO8</f>
        <v>0</v>
      </c>
      <c r="AP8">
        <f>' typ oeil  formulle'!AP8</f>
        <v>0</v>
      </c>
      <c r="AQ8">
        <f>' typ oeil  formulle'!AQ8</f>
        <v>0</v>
      </c>
      <c r="AR8" t="str">
        <f>' typ oeil  formulle'!AR8</f>
        <v xml:space="preserve"> +0,25 à -0,25</v>
      </c>
      <c r="AS8">
        <f>' typ oeil  formulle'!AS8</f>
        <v>0</v>
      </c>
      <c r="AT8">
        <f>' typ oeil  formulle'!AT8</f>
        <v>0</v>
      </c>
      <c r="AU8">
        <f>' typ oeil  formulle'!AU8</f>
        <v>0</v>
      </c>
      <c r="AV8">
        <f>' typ oeil  formulle'!AV8</f>
        <v>0</v>
      </c>
      <c r="AW8">
        <f>' typ oeil  formulle'!AW8</f>
        <v>0</v>
      </c>
      <c r="AX8">
        <f>' typ oeil  formulle'!AX8</f>
        <v>0</v>
      </c>
      <c r="AY8">
        <f>' typ oeil  formulle'!AY8</f>
        <v>0</v>
      </c>
    </row>
    <row r="9" spans="1:51" ht="19" x14ac:dyDescent="0.25">
      <c r="A9" s="2"/>
      <c r="B9" t="s">
        <v>137</v>
      </c>
      <c r="C9">
        <f>' typ oeil  formulle'!C9</f>
        <v>0</v>
      </c>
      <c r="D9">
        <f>' typ oeil  formulle'!D9</f>
        <v>0</v>
      </c>
      <c r="E9">
        <f>' typ oeil  formulle'!E9</f>
        <v>0</v>
      </c>
      <c r="F9">
        <f>' typ oeil  formulle'!F9</f>
        <v>0</v>
      </c>
      <c r="G9">
        <f>' typ oeil  formulle'!G9</f>
        <v>0</v>
      </c>
      <c r="H9">
        <f>' typ oeil  formulle'!H9</f>
        <v>0</v>
      </c>
      <c r="I9" t="str">
        <f>' typ oeil  formulle'!I9</f>
        <v xml:space="preserve"> -0,26 à -0,50</v>
      </c>
      <c r="J9">
        <f>' typ oeil  formulle'!J9</f>
        <v>0</v>
      </c>
      <c r="K9">
        <f>' typ oeil  formulle'!K9</f>
        <v>0</v>
      </c>
      <c r="L9">
        <f>' typ oeil  formulle'!L9</f>
        <v>0</v>
      </c>
      <c r="M9">
        <f>' typ oeil  formulle'!M9</f>
        <v>0</v>
      </c>
      <c r="N9">
        <f>' typ oeil  formulle'!N9</f>
        <v>0</v>
      </c>
      <c r="O9">
        <f>' typ oeil  formulle'!O9</f>
        <v>0</v>
      </c>
      <c r="P9" t="str">
        <f>' typ oeil  formulle'!P9</f>
        <v xml:space="preserve"> -0,26 à -0,50</v>
      </c>
      <c r="Q9">
        <f>' typ oeil  formulle'!Q9</f>
        <v>0</v>
      </c>
      <c r="R9">
        <f>' typ oeil  formulle'!R9</f>
        <v>0</v>
      </c>
      <c r="S9">
        <f>' typ oeil  formulle'!S9</f>
        <v>0</v>
      </c>
      <c r="T9">
        <f>' typ oeil  formulle'!T9</f>
        <v>0</v>
      </c>
      <c r="U9">
        <f>' typ oeil  formulle'!U9</f>
        <v>0</v>
      </c>
      <c r="V9">
        <f>' typ oeil  formulle'!V9</f>
        <v>0</v>
      </c>
      <c r="W9" t="str">
        <f>' typ oeil  formulle'!W9</f>
        <v xml:space="preserve"> -0,26 à -0,50</v>
      </c>
      <c r="X9">
        <f>' typ oeil  formulle'!X9</f>
        <v>0</v>
      </c>
      <c r="Y9">
        <f>' typ oeil  formulle'!Y9</f>
        <v>0</v>
      </c>
      <c r="Z9">
        <f>' typ oeil  formulle'!Z9</f>
        <v>0</v>
      </c>
      <c r="AA9">
        <f>' typ oeil  formulle'!AA9</f>
        <v>0</v>
      </c>
      <c r="AB9">
        <f>' typ oeil  formulle'!AB9</f>
        <v>0</v>
      </c>
      <c r="AC9">
        <f>' typ oeil  formulle'!AC9</f>
        <v>0</v>
      </c>
      <c r="AD9" t="str">
        <f>' typ oeil  formulle'!AD9</f>
        <v xml:space="preserve"> -0,26 à -0,50</v>
      </c>
      <c r="AE9">
        <f>' typ oeil  formulle'!AE9</f>
        <v>0</v>
      </c>
      <c r="AF9">
        <f>' typ oeil  formulle'!AF9</f>
        <v>0</v>
      </c>
      <c r="AG9">
        <f>' typ oeil  formulle'!AG9</f>
        <v>0</v>
      </c>
      <c r="AH9">
        <f>' typ oeil  formulle'!AH9</f>
        <v>0</v>
      </c>
      <c r="AI9">
        <f>' typ oeil  formulle'!AI9</f>
        <v>0</v>
      </c>
      <c r="AJ9">
        <f>' typ oeil  formulle'!AJ9</f>
        <v>0</v>
      </c>
      <c r="AK9" t="str">
        <f>' typ oeil  formulle'!AK9</f>
        <v xml:space="preserve"> -0,26 à -0,50</v>
      </c>
      <c r="AL9">
        <f>' typ oeil  formulle'!AL9</f>
        <v>0</v>
      </c>
      <c r="AM9">
        <f>' typ oeil  formulle'!AM9</f>
        <v>0</v>
      </c>
      <c r="AN9">
        <f>' typ oeil  formulle'!AN9</f>
        <v>0</v>
      </c>
      <c r="AO9">
        <f>' typ oeil  formulle'!AO9</f>
        <v>0</v>
      </c>
      <c r="AP9">
        <f>' typ oeil  formulle'!AP9</f>
        <v>0</v>
      </c>
      <c r="AQ9">
        <f>' typ oeil  formulle'!AQ9</f>
        <v>0</v>
      </c>
      <c r="AR9" t="str">
        <f>' typ oeil  formulle'!AR9</f>
        <v xml:space="preserve"> -0,26 à -0,50</v>
      </c>
      <c r="AS9">
        <f>' typ oeil  formulle'!AS9</f>
        <v>0</v>
      </c>
      <c r="AT9">
        <f>' typ oeil  formulle'!AT9</f>
        <v>0</v>
      </c>
      <c r="AU9">
        <f>' typ oeil  formulle'!AU9</f>
        <v>0</v>
      </c>
      <c r="AV9">
        <f>' typ oeil  formulle'!AV9</f>
        <v>0</v>
      </c>
      <c r="AW9">
        <f>' typ oeil  formulle'!AW9</f>
        <v>0</v>
      </c>
      <c r="AX9">
        <f>' typ oeil  formulle'!AX9</f>
        <v>0</v>
      </c>
      <c r="AY9">
        <f>' typ oeil  formulle'!AY9</f>
        <v>0</v>
      </c>
    </row>
    <row r="10" spans="1:51" ht="19" x14ac:dyDescent="0.25">
      <c r="A10" s="2"/>
      <c r="B10" t="s">
        <v>138</v>
      </c>
      <c r="C10">
        <f>' typ oeil  formulle'!C10</f>
        <v>0</v>
      </c>
      <c r="D10">
        <f>' typ oeil  formulle'!D10</f>
        <v>0</v>
      </c>
      <c r="E10">
        <f>' typ oeil  formulle'!E10</f>
        <v>0</v>
      </c>
      <c r="F10">
        <f>' typ oeil  formulle'!F10</f>
        <v>0</v>
      </c>
      <c r="G10">
        <f>' typ oeil  formulle'!G10</f>
        <v>0</v>
      </c>
      <c r="H10">
        <f>' typ oeil  formulle'!H10</f>
        <v>0</v>
      </c>
      <c r="I10" t="str">
        <f>' typ oeil  formulle'!I10</f>
        <v xml:space="preserve"> -0,51 à -0,75</v>
      </c>
      <c r="J10">
        <f>' typ oeil  formulle'!J10</f>
        <v>0</v>
      </c>
      <c r="K10">
        <f>' typ oeil  formulle'!K10</f>
        <v>0</v>
      </c>
      <c r="L10">
        <f>' typ oeil  formulle'!L10</f>
        <v>0</v>
      </c>
      <c r="M10">
        <f>' typ oeil  formulle'!M10</f>
        <v>0</v>
      </c>
      <c r="N10">
        <f>' typ oeil  formulle'!N10</f>
        <v>0</v>
      </c>
      <c r="O10">
        <f>' typ oeil  formulle'!O10</f>
        <v>0</v>
      </c>
      <c r="P10" t="str">
        <f>' typ oeil  formulle'!P10</f>
        <v xml:space="preserve"> -0,51 à -0,75</v>
      </c>
      <c r="Q10">
        <f>' typ oeil  formulle'!Q10</f>
        <v>0</v>
      </c>
      <c r="R10">
        <f>' typ oeil  formulle'!R10</f>
        <v>0</v>
      </c>
      <c r="S10">
        <f>' typ oeil  formulle'!S10</f>
        <v>0</v>
      </c>
      <c r="T10">
        <f>' typ oeil  formulle'!T10</f>
        <v>0</v>
      </c>
      <c r="U10">
        <f>' typ oeil  formulle'!U10</f>
        <v>0</v>
      </c>
      <c r="V10">
        <f>' typ oeil  formulle'!V10</f>
        <v>0</v>
      </c>
      <c r="W10" t="str">
        <f>' typ oeil  formulle'!W10</f>
        <v xml:space="preserve"> -0,51 à -0,75</v>
      </c>
      <c r="X10">
        <f>' typ oeil  formulle'!X10</f>
        <v>0</v>
      </c>
      <c r="Y10">
        <f>' typ oeil  formulle'!Y10</f>
        <v>0</v>
      </c>
      <c r="Z10">
        <f>' typ oeil  formulle'!Z10</f>
        <v>0</v>
      </c>
      <c r="AA10">
        <f>' typ oeil  formulle'!AA10</f>
        <v>0</v>
      </c>
      <c r="AB10">
        <f>' typ oeil  formulle'!AB10</f>
        <v>0</v>
      </c>
      <c r="AC10">
        <f>' typ oeil  formulle'!AC10</f>
        <v>0</v>
      </c>
      <c r="AD10" t="str">
        <f>' typ oeil  formulle'!AD10</f>
        <v xml:space="preserve"> -0,51 à -0,75</v>
      </c>
      <c r="AE10">
        <f>' typ oeil  formulle'!AE10</f>
        <v>0</v>
      </c>
      <c r="AF10">
        <f>' typ oeil  formulle'!AF10</f>
        <v>0</v>
      </c>
      <c r="AG10">
        <f>' typ oeil  formulle'!AG10</f>
        <v>0</v>
      </c>
      <c r="AH10">
        <f>' typ oeil  formulle'!AH10</f>
        <v>0</v>
      </c>
      <c r="AI10">
        <f>' typ oeil  formulle'!AI10</f>
        <v>0</v>
      </c>
      <c r="AJ10">
        <f>' typ oeil  formulle'!AJ10</f>
        <v>0</v>
      </c>
      <c r="AK10" t="str">
        <f>' typ oeil  formulle'!AK10</f>
        <v xml:space="preserve"> -0,51 à -0,75</v>
      </c>
      <c r="AL10">
        <f>' typ oeil  formulle'!AL10</f>
        <v>0</v>
      </c>
      <c r="AM10">
        <f>' typ oeil  formulle'!AM10</f>
        <v>0</v>
      </c>
      <c r="AN10">
        <f>' typ oeil  formulle'!AN10</f>
        <v>0</v>
      </c>
      <c r="AO10">
        <f>' typ oeil  formulle'!AO10</f>
        <v>0</v>
      </c>
      <c r="AP10">
        <f>' typ oeil  formulle'!AP10</f>
        <v>0</v>
      </c>
      <c r="AQ10">
        <f>' typ oeil  formulle'!AQ10</f>
        <v>0</v>
      </c>
      <c r="AR10" t="str">
        <f>' typ oeil  formulle'!AR10</f>
        <v xml:space="preserve"> -0,51 à -0,75</v>
      </c>
      <c r="AS10">
        <f>' typ oeil  formulle'!AS10</f>
        <v>0</v>
      </c>
      <c r="AT10">
        <f>' typ oeil  formulle'!AT10</f>
        <v>0</v>
      </c>
      <c r="AU10">
        <f>' typ oeil  formulle'!AU10</f>
        <v>0</v>
      </c>
      <c r="AV10">
        <f>' typ oeil  formulle'!AV10</f>
        <v>0</v>
      </c>
      <c r="AW10">
        <f>' typ oeil  formulle'!AW10</f>
        <v>0</v>
      </c>
      <c r="AX10">
        <f>' typ oeil  formulle'!AX10</f>
        <v>0</v>
      </c>
      <c r="AY10">
        <f>' typ oeil  formulle'!AY10</f>
        <v>0</v>
      </c>
    </row>
    <row r="11" spans="1:51" ht="19" x14ac:dyDescent="0.25">
      <c r="A11" s="2"/>
      <c r="B11" t="s">
        <v>139</v>
      </c>
      <c r="C11">
        <f>' typ oeil  formulle'!C11</f>
        <v>0</v>
      </c>
      <c r="D11">
        <f>' typ oeil  formulle'!D11</f>
        <v>0</v>
      </c>
      <c r="E11">
        <f>' typ oeil  formulle'!E11</f>
        <v>0</v>
      </c>
      <c r="F11">
        <f>' typ oeil  formulle'!F11</f>
        <v>0</v>
      </c>
      <c r="G11">
        <f>' typ oeil  formulle'!G11</f>
        <v>0</v>
      </c>
      <c r="H11">
        <f>' typ oeil  formulle'!H11</f>
        <v>0</v>
      </c>
      <c r="I11" t="str">
        <f>' typ oeil  formulle'!I11</f>
        <v xml:space="preserve"> -0,76 -1,0</v>
      </c>
      <c r="J11">
        <f>' typ oeil  formulle'!J11</f>
        <v>0</v>
      </c>
      <c r="K11">
        <f>' typ oeil  formulle'!K11</f>
        <v>0</v>
      </c>
      <c r="L11">
        <f>' typ oeil  formulle'!L11</f>
        <v>0</v>
      </c>
      <c r="M11">
        <f>' typ oeil  formulle'!M11</f>
        <v>0</v>
      </c>
      <c r="N11">
        <f>' typ oeil  formulle'!N11</f>
        <v>0</v>
      </c>
      <c r="O11">
        <f>' typ oeil  formulle'!O11</f>
        <v>0</v>
      </c>
      <c r="P11" t="str">
        <f>' typ oeil  formulle'!P11</f>
        <v xml:space="preserve"> -0,76 -1,0</v>
      </c>
      <c r="Q11">
        <f>' typ oeil  formulle'!Q11</f>
        <v>0</v>
      </c>
      <c r="R11">
        <f>' typ oeil  formulle'!R11</f>
        <v>0</v>
      </c>
      <c r="S11">
        <f>' typ oeil  formulle'!S11</f>
        <v>0</v>
      </c>
      <c r="T11">
        <f>' typ oeil  formulle'!T11</f>
        <v>0</v>
      </c>
      <c r="U11">
        <f>' typ oeil  formulle'!U11</f>
        <v>0</v>
      </c>
      <c r="V11">
        <f>' typ oeil  formulle'!V11</f>
        <v>0</v>
      </c>
      <c r="W11" t="str">
        <f>' typ oeil  formulle'!W11</f>
        <v xml:space="preserve"> -0,76 -1,0</v>
      </c>
      <c r="X11">
        <f>' typ oeil  formulle'!X11</f>
        <v>0</v>
      </c>
      <c r="Y11">
        <f>' typ oeil  formulle'!Y11</f>
        <v>0</v>
      </c>
      <c r="Z11">
        <f>' typ oeil  formulle'!Z11</f>
        <v>0</v>
      </c>
      <c r="AA11">
        <f>' typ oeil  formulle'!AA11</f>
        <v>0</v>
      </c>
      <c r="AB11">
        <f>' typ oeil  formulle'!AB11</f>
        <v>0</v>
      </c>
      <c r="AC11">
        <f>' typ oeil  formulle'!AC11</f>
        <v>0</v>
      </c>
      <c r="AD11" t="str">
        <f>' typ oeil  formulle'!AD11</f>
        <v xml:space="preserve"> -0,76 -1,0</v>
      </c>
      <c r="AE11">
        <f>' typ oeil  formulle'!AE11</f>
        <v>0</v>
      </c>
      <c r="AF11">
        <f>' typ oeil  formulle'!AF11</f>
        <v>0</v>
      </c>
      <c r="AG11">
        <f>' typ oeil  formulle'!AG11</f>
        <v>0</v>
      </c>
      <c r="AH11">
        <f>' typ oeil  formulle'!AH11</f>
        <v>0</v>
      </c>
      <c r="AI11">
        <f>' typ oeil  formulle'!AI11</f>
        <v>0</v>
      </c>
      <c r="AJ11">
        <f>' typ oeil  formulle'!AJ11</f>
        <v>0</v>
      </c>
      <c r="AK11" t="str">
        <f>' typ oeil  formulle'!AK11</f>
        <v xml:space="preserve"> -0,76 -1,0</v>
      </c>
      <c r="AL11">
        <f>' typ oeil  formulle'!AL11</f>
        <v>0</v>
      </c>
      <c r="AM11">
        <f>' typ oeil  formulle'!AM11</f>
        <v>0</v>
      </c>
      <c r="AN11">
        <f>' typ oeil  formulle'!AN11</f>
        <v>0</v>
      </c>
      <c r="AO11">
        <f>' typ oeil  formulle'!AO11</f>
        <v>0</v>
      </c>
      <c r="AP11">
        <f>' typ oeil  formulle'!AP11</f>
        <v>0</v>
      </c>
      <c r="AQ11">
        <f>' typ oeil  formulle'!AQ11</f>
        <v>0</v>
      </c>
      <c r="AR11" t="str">
        <f>' typ oeil  formulle'!AR11</f>
        <v xml:space="preserve"> -0,76 -1,0</v>
      </c>
      <c r="AS11">
        <f>' typ oeil  formulle'!AS11</f>
        <v>0</v>
      </c>
      <c r="AT11">
        <f>' typ oeil  formulle'!AT11</f>
        <v>0</v>
      </c>
      <c r="AU11">
        <f>' typ oeil  formulle'!AU11</f>
        <v>0</v>
      </c>
      <c r="AV11">
        <f>' typ oeil  formulle'!AV11</f>
        <v>0</v>
      </c>
      <c r="AW11">
        <f>' typ oeil  formulle'!AW11</f>
        <v>0</v>
      </c>
      <c r="AX11">
        <f>' typ oeil  formulle'!AX11</f>
        <v>0</v>
      </c>
      <c r="AY11">
        <f>' typ oeil  formulle'!AY11</f>
        <v>0</v>
      </c>
    </row>
    <row r="12" spans="1:51" ht="19" x14ac:dyDescent="0.25">
      <c r="A12" s="2"/>
      <c r="B12" t="s">
        <v>140</v>
      </c>
      <c r="C12">
        <f>' typ oeil  formulle'!C12</f>
        <v>0</v>
      </c>
      <c r="D12">
        <f>' typ oeil  formulle'!D12</f>
        <v>0</v>
      </c>
      <c r="E12">
        <f>' typ oeil  formulle'!E12</f>
        <v>0</v>
      </c>
      <c r="F12">
        <f>' typ oeil  formulle'!F12</f>
        <v>0</v>
      </c>
      <c r="G12">
        <f>' typ oeil  formulle'!G12</f>
        <v>0</v>
      </c>
      <c r="H12">
        <f>' typ oeil  formulle'!H12</f>
        <v>0</v>
      </c>
      <c r="I12" t="str">
        <f>' typ oeil  formulle'!I12</f>
        <v>&gt; -1,0</v>
      </c>
      <c r="J12">
        <f>' typ oeil  formulle'!J12</f>
        <v>0</v>
      </c>
      <c r="K12">
        <f>' typ oeil  formulle'!K12</f>
        <v>0</v>
      </c>
      <c r="L12">
        <f>' typ oeil  formulle'!L12</f>
        <v>0</v>
      </c>
      <c r="M12">
        <f>' typ oeil  formulle'!M12</f>
        <v>0</v>
      </c>
      <c r="N12">
        <f>' typ oeil  formulle'!N12</f>
        <v>0</v>
      </c>
      <c r="O12">
        <f>' typ oeil  formulle'!O12</f>
        <v>0</v>
      </c>
      <c r="P12" t="str">
        <f>' typ oeil  formulle'!P12</f>
        <v>&gt; -1,0</v>
      </c>
      <c r="Q12">
        <f>' typ oeil  formulle'!Q12</f>
        <v>0</v>
      </c>
      <c r="R12">
        <f>' typ oeil  formulle'!R12</f>
        <v>0</v>
      </c>
      <c r="S12">
        <f>' typ oeil  formulle'!S12</f>
        <v>0</v>
      </c>
      <c r="T12">
        <f>' typ oeil  formulle'!T12</f>
        <v>0</v>
      </c>
      <c r="U12">
        <f>' typ oeil  formulle'!U12</f>
        <v>0</v>
      </c>
      <c r="V12">
        <f>' typ oeil  formulle'!V12</f>
        <v>0</v>
      </c>
      <c r="W12" t="str">
        <f>' typ oeil  formulle'!W12</f>
        <v>&gt; -1,0</v>
      </c>
      <c r="X12">
        <f>' typ oeil  formulle'!X12</f>
        <v>0</v>
      </c>
      <c r="Y12">
        <f>' typ oeil  formulle'!Y12</f>
        <v>0</v>
      </c>
      <c r="Z12">
        <f>' typ oeil  formulle'!Z12</f>
        <v>0</v>
      </c>
      <c r="AA12">
        <f>' typ oeil  formulle'!AA12</f>
        <v>0</v>
      </c>
      <c r="AB12">
        <f>' typ oeil  formulle'!AB12</f>
        <v>0</v>
      </c>
      <c r="AC12">
        <f>' typ oeil  formulle'!AC12</f>
        <v>0</v>
      </c>
      <c r="AD12" t="str">
        <f>' typ oeil  formulle'!AD12</f>
        <v>&gt; -1,0</v>
      </c>
      <c r="AE12">
        <f>' typ oeil  formulle'!AE12</f>
        <v>0</v>
      </c>
      <c r="AF12">
        <f>' typ oeil  formulle'!AF12</f>
        <v>0</v>
      </c>
      <c r="AG12">
        <f>' typ oeil  formulle'!AG12</f>
        <v>0</v>
      </c>
      <c r="AH12">
        <f>' typ oeil  formulle'!AH12</f>
        <v>0</v>
      </c>
      <c r="AI12">
        <f>' typ oeil  formulle'!AI12</f>
        <v>0</v>
      </c>
      <c r="AJ12">
        <f>' typ oeil  formulle'!AJ12</f>
        <v>0</v>
      </c>
      <c r="AK12" t="str">
        <f>' typ oeil  formulle'!AK12</f>
        <v>&gt; -1,0</v>
      </c>
      <c r="AL12">
        <f>' typ oeil  formulle'!AL12</f>
        <v>0</v>
      </c>
      <c r="AM12">
        <f>' typ oeil  formulle'!AM12</f>
        <v>0</v>
      </c>
      <c r="AN12">
        <f>' typ oeil  formulle'!AN12</f>
        <v>0</v>
      </c>
      <c r="AO12">
        <f>' typ oeil  formulle'!AO12</f>
        <v>0</v>
      </c>
      <c r="AP12">
        <f>' typ oeil  formulle'!AP12</f>
        <v>0</v>
      </c>
      <c r="AQ12">
        <f>' typ oeil  formulle'!AQ12</f>
        <v>0</v>
      </c>
      <c r="AR12" t="str">
        <f>' typ oeil  formulle'!AR12</f>
        <v>&gt; -1,0</v>
      </c>
      <c r="AS12">
        <f>' typ oeil  formulle'!AS12</f>
        <v>0</v>
      </c>
      <c r="AT12">
        <f>' typ oeil  formulle'!AT12</f>
        <v>0</v>
      </c>
      <c r="AU12">
        <f>' typ oeil  formulle'!AU12</f>
        <v>0</v>
      </c>
      <c r="AV12">
        <f>' typ oeil  formulle'!AV12</f>
        <v>0</v>
      </c>
      <c r="AW12">
        <f>' typ oeil  formulle'!AW12</f>
        <v>0</v>
      </c>
      <c r="AX12">
        <f>' typ oeil  formulle'!AX12</f>
        <v>0</v>
      </c>
      <c r="AY12">
        <f>' typ oeil  formulle'!AY12</f>
        <v>0</v>
      </c>
    </row>
    <row r="13" spans="1:51" ht="19" x14ac:dyDescent="0.25">
      <c r="A13" s="2"/>
      <c r="B13" s="2" t="s">
        <v>32</v>
      </c>
      <c r="I13" s="2"/>
      <c r="P13" s="2"/>
      <c r="W13" s="2"/>
      <c r="AD13" s="2"/>
      <c r="AK13" s="2"/>
      <c r="AR13" s="2"/>
    </row>
    <row r="14" spans="1:51" ht="19" x14ac:dyDescent="0.25">
      <c r="A14" s="2"/>
      <c r="B14" t="s">
        <v>141</v>
      </c>
      <c r="C14">
        <f>' typ oeil  formulle'!C32</f>
        <v>0</v>
      </c>
      <c r="D14">
        <f>' typ oeil  formulle'!D32</f>
        <v>0</v>
      </c>
      <c r="E14">
        <f>' typ oeil  formulle'!E32</f>
        <v>0</v>
      </c>
      <c r="F14">
        <f>' typ oeil  formulle'!F32</f>
        <v>0</v>
      </c>
      <c r="G14">
        <f>' typ oeil  formulle'!G32</f>
        <v>0</v>
      </c>
      <c r="H14">
        <f>' typ oeil  formulle'!H32</f>
        <v>0</v>
      </c>
      <c r="I14" t="str">
        <f>' typ oeil  formulle'!I32</f>
        <v>&gt;+1,0</v>
      </c>
      <c r="J14">
        <f>' typ oeil  formulle'!J32</f>
        <v>0</v>
      </c>
      <c r="K14">
        <f>' typ oeil  formulle'!K32</f>
        <v>0</v>
      </c>
      <c r="L14">
        <f>' typ oeil  formulle'!L32</f>
        <v>0</v>
      </c>
      <c r="M14">
        <f>' typ oeil  formulle'!M32</f>
        <v>0</v>
      </c>
      <c r="N14">
        <f>' typ oeil  formulle'!N32</f>
        <v>0</v>
      </c>
      <c r="O14">
        <f>' typ oeil  formulle'!O32</f>
        <v>0</v>
      </c>
      <c r="P14" t="str">
        <f>' typ oeil  formulle'!P32</f>
        <v>&gt;+1,0</v>
      </c>
      <c r="Q14">
        <f>' typ oeil  formulle'!Q32</f>
        <v>0</v>
      </c>
      <c r="R14">
        <f>' typ oeil  formulle'!R32</f>
        <v>0</v>
      </c>
      <c r="S14">
        <f>' typ oeil  formulle'!S32</f>
        <v>0</v>
      </c>
      <c r="T14">
        <f>' typ oeil  formulle'!T32</f>
        <v>0</v>
      </c>
      <c r="U14">
        <f>' typ oeil  formulle'!U32</f>
        <v>0</v>
      </c>
      <c r="V14">
        <f>' typ oeil  formulle'!V32</f>
        <v>0</v>
      </c>
      <c r="X14">
        <f>' typ oeil  formulle'!X32</f>
        <v>0</v>
      </c>
      <c r="Y14">
        <f>' typ oeil  formulle'!Y32</f>
        <v>0</v>
      </c>
      <c r="Z14">
        <f>' typ oeil  formulle'!Z32</f>
        <v>0</v>
      </c>
      <c r="AA14">
        <f>' typ oeil  formulle'!AA32</f>
        <v>0</v>
      </c>
      <c r="AB14">
        <f>' typ oeil  formulle'!AB32</f>
        <v>0</v>
      </c>
      <c r="AC14">
        <f>' typ oeil  formulle'!AC32</f>
        <v>0</v>
      </c>
      <c r="AD14" t="str">
        <f>' typ oeil  formulle'!AD32</f>
        <v>&gt;+1,0</v>
      </c>
      <c r="AE14">
        <f>' typ oeil  formulle'!AE32</f>
        <v>0</v>
      </c>
      <c r="AF14">
        <f>' typ oeil  formulle'!AF32</f>
        <v>0</v>
      </c>
      <c r="AG14">
        <f>' typ oeil  formulle'!AG32</f>
        <v>0</v>
      </c>
      <c r="AH14">
        <f>' typ oeil  formulle'!AH32</f>
        <v>0</v>
      </c>
      <c r="AK14" t="str">
        <f>' typ oeil  formulle'!AK32</f>
        <v>&gt;+1,0</v>
      </c>
      <c r="AL14">
        <f>' typ oeil  formulle'!AL32</f>
        <v>0</v>
      </c>
      <c r="AM14">
        <f>' typ oeil  formulle'!AM32</f>
        <v>0</v>
      </c>
      <c r="AN14">
        <f>' typ oeil  formulle'!AN32</f>
        <v>0</v>
      </c>
      <c r="AO14">
        <f>' typ oeil  formulle'!AO32</f>
        <v>0</v>
      </c>
      <c r="AR14" t="str">
        <f>' typ oeil  formulle'!AR32</f>
        <v>&gt;+1,0</v>
      </c>
      <c r="AS14">
        <f>' typ oeil  formulle'!AS32</f>
        <v>0</v>
      </c>
      <c r="AT14">
        <f>' typ oeil  formulle'!AT32</f>
        <v>0</v>
      </c>
      <c r="AU14">
        <f>' typ oeil  formulle'!AU32</f>
        <v>0</v>
      </c>
      <c r="AV14">
        <f>' typ oeil  formulle'!AV32</f>
        <v>0</v>
      </c>
      <c r="AW14">
        <f>' typ oeil  formulle'!AW32</f>
        <v>0</v>
      </c>
      <c r="AX14">
        <f>' typ oeil  formulle'!AX32</f>
        <v>0</v>
      </c>
      <c r="AY14">
        <f>' typ oeil  formulle'!AY32</f>
        <v>0</v>
      </c>
    </row>
    <row r="15" spans="1:51" ht="19" x14ac:dyDescent="0.25">
      <c r="A15" s="2"/>
      <c r="B15" t="s">
        <v>142</v>
      </c>
      <c r="C15">
        <f>' typ oeil  formulle'!C33</f>
        <v>0</v>
      </c>
      <c r="D15">
        <f>' typ oeil  formulle'!D33</f>
        <v>0</v>
      </c>
      <c r="E15">
        <f>' typ oeil  formulle'!E33</f>
        <v>0</v>
      </c>
      <c r="F15">
        <f>' typ oeil  formulle'!F33</f>
        <v>0</v>
      </c>
      <c r="G15">
        <f>' typ oeil  formulle'!G33</f>
        <v>0</v>
      </c>
      <c r="H15">
        <f>' typ oeil  formulle'!H33</f>
        <v>0</v>
      </c>
      <c r="I15" t="str">
        <f>' typ oeil  formulle'!I33</f>
        <v xml:space="preserve"> +1,0 à +0,76</v>
      </c>
      <c r="J15">
        <f>' typ oeil  formulle'!J33</f>
        <v>0</v>
      </c>
      <c r="K15">
        <f>' typ oeil  formulle'!K33</f>
        <v>0</v>
      </c>
      <c r="L15">
        <f>' typ oeil  formulle'!L33</f>
        <v>0</v>
      </c>
      <c r="M15">
        <f>' typ oeil  formulle'!M33</f>
        <v>0</v>
      </c>
      <c r="N15">
        <f>' typ oeil  formulle'!N33</f>
        <v>0</v>
      </c>
      <c r="O15">
        <f>' typ oeil  formulle'!O33</f>
        <v>0</v>
      </c>
      <c r="P15" t="str">
        <f>' typ oeil  formulle'!P33</f>
        <v xml:space="preserve"> +1,0 à +0,76</v>
      </c>
      <c r="Q15">
        <f>' typ oeil  formulle'!Q33</f>
        <v>0</v>
      </c>
      <c r="R15">
        <f>' typ oeil  formulle'!R33</f>
        <v>0</v>
      </c>
      <c r="S15">
        <f>' typ oeil  formulle'!S33</f>
        <v>0</v>
      </c>
      <c r="T15">
        <f>' typ oeil  formulle'!T33</f>
        <v>0</v>
      </c>
      <c r="U15">
        <f>' typ oeil  formulle'!U33</f>
        <v>0</v>
      </c>
      <c r="V15">
        <f>' typ oeil  formulle'!V33</f>
        <v>0</v>
      </c>
      <c r="X15">
        <f>' typ oeil  formulle'!X33</f>
        <v>0</v>
      </c>
      <c r="Y15">
        <f>' typ oeil  formulle'!Y33</f>
        <v>0</v>
      </c>
      <c r="Z15">
        <f>' typ oeil  formulle'!Z33</f>
        <v>0</v>
      </c>
      <c r="AA15">
        <f>' typ oeil  formulle'!AA33</f>
        <v>0</v>
      </c>
      <c r="AB15">
        <f>' typ oeil  formulle'!AB33</f>
        <v>0</v>
      </c>
      <c r="AC15">
        <f>' typ oeil  formulle'!AC33</f>
        <v>0</v>
      </c>
      <c r="AD15" t="str">
        <f>' typ oeil  formulle'!AD33</f>
        <v xml:space="preserve"> +1,0 à +0,76</v>
      </c>
      <c r="AE15">
        <f>' typ oeil  formulle'!AE33</f>
        <v>0</v>
      </c>
      <c r="AF15">
        <f>' typ oeil  formulle'!AF33</f>
        <v>0</v>
      </c>
      <c r="AG15">
        <f>' typ oeil  formulle'!AG33</f>
        <v>0</v>
      </c>
      <c r="AH15">
        <f>' typ oeil  formulle'!AH33</f>
        <v>0</v>
      </c>
      <c r="AK15" t="str">
        <f>' typ oeil  formulle'!AK33</f>
        <v xml:space="preserve"> +1,0 à +0,76</v>
      </c>
      <c r="AL15">
        <f>' typ oeil  formulle'!AL33</f>
        <v>0</v>
      </c>
      <c r="AM15">
        <f>' typ oeil  formulle'!AM33</f>
        <v>0</v>
      </c>
      <c r="AN15">
        <f>' typ oeil  formulle'!AN33</f>
        <v>0</v>
      </c>
      <c r="AO15">
        <f>' typ oeil  formulle'!AO33</f>
        <v>0</v>
      </c>
      <c r="AR15" t="str">
        <f>' typ oeil  formulle'!AR33</f>
        <v xml:space="preserve"> +1,0 à +0,76</v>
      </c>
      <c r="AS15">
        <f>' typ oeil  formulle'!AS33</f>
        <v>0</v>
      </c>
      <c r="AT15">
        <f>' typ oeil  formulle'!AT33</f>
        <v>0</v>
      </c>
      <c r="AU15">
        <f>' typ oeil  formulle'!AU33</f>
        <v>0</v>
      </c>
      <c r="AV15">
        <f>' typ oeil  formulle'!AV33</f>
        <v>0</v>
      </c>
      <c r="AW15">
        <f>' typ oeil  formulle'!AW33</f>
        <v>0</v>
      </c>
      <c r="AX15">
        <f>' typ oeil  formulle'!AX33</f>
        <v>0</v>
      </c>
      <c r="AY15">
        <f>' typ oeil  formulle'!AY33</f>
        <v>0</v>
      </c>
    </row>
    <row r="16" spans="1:51" ht="19" x14ac:dyDescent="0.25">
      <c r="A16" s="2"/>
      <c r="B16" t="s">
        <v>143</v>
      </c>
      <c r="C16">
        <f>' typ oeil  formulle'!C34</f>
        <v>0</v>
      </c>
      <c r="D16">
        <f>' typ oeil  formulle'!D34</f>
        <v>0</v>
      </c>
      <c r="E16">
        <f>' typ oeil  formulle'!E34</f>
        <v>0</v>
      </c>
      <c r="F16">
        <f>' typ oeil  formulle'!F34</f>
        <v>0</v>
      </c>
      <c r="G16">
        <f>' typ oeil  formulle'!G34</f>
        <v>0</v>
      </c>
      <c r="H16">
        <f>' typ oeil  formulle'!H34</f>
        <v>0</v>
      </c>
      <c r="I16" t="str">
        <f>' typ oeil  formulle'!I34</f>
        <v xml:space="preserve"> +0,75 à +0,51</v>
      </c>
      <c r="J16">
        <f>' typ oeil  formulle'!J34</f>
        <v>0</v>
      </c>
      <c r="K16">
        <f>' typ oeil  formulle'!K34</f>
        <v>0</v>
      </c>
      <c r="L16">
        <f>' typ oeil  formulle'!L34</f>
        <v>0</v>
      </c>
      <c r="M16">
        <f>' typ oeil  formulle'!M34</f>
        <v>0</v>
      </c>
      <c r="N16">
        <f>' typ oeil  formulle'!N34</f>
        <v>0</v>
      </c>
      <c r="O16">
        <f>' typ oeil  formulle'!O34</f>
        <v>0</v>
      </c>
      <c r="P16" t="str">
        <f>' typ oeil  formulle'!P34</f>
        <v xml:space="preserve"> +0,75 à +0,51</v>
      </c>
      <c r="Q16">
        <f>' typ oeil  formulle'!Q34</f>
        <v>0</v>
      </c>
      <c r="R16">
        <f>' typ oeil  formulle'!R34</f>
        <v>0</v>
      </c>
      <c r="S16">
        <f>' typ oeil  formulle'!S34</f>
        <v>0</v>
      </c>
      <c r="T16">
        <f>' typ oeil  formulle'!T34</f>
        <v>0</v>
      </c>
      <c r="U16">
        <f>' typ oeil  formulle'!U34</f>
        <v>0</v>
      </c>
      <c r="V16">
        <f>' typ oeil  formulle'!V34</f>
        <v>0</v>
      </c>
      <c r="X16">
        <f>' typ oeil  formulle'!X34</f>
        <v>0</v>
      </c>
      <c r="Y16">
        <f>' typ oeil  formulle'!Y34</f>
        <v>0</v>
      </c>
      <c r="Z16">
        <f>' typ oeil  formulle'!Z34</f>
        <v>0</v>
      </c>
      <c r="AA16">
        <f>' typ oeil  formulle'!AA34</f>
        <v>0</v>
      </c>
      <c r="AB16">
        <f>' typ oeil  formulle'!AB34</f>
        <v>0</v>
      </c>
      <c r="AC16">
        <f>' typ oeil  formulle'!AC34</f>
        <v>0</v>
      </c>
      <c r="AD16" t="str">
        <f>' typ oeil  formulle'!AD34</f>
        <v xml:space="preserve"> +0,75 à +0,51</v>
      </c>
      <c r="AE16">
        <f>' typ oeil  formulle'!AE34</f>
        <v>0</v>
      </c>
      <c r="AF16">
        <f>' typ oeil  formulle'!AF34</f>
        <v>0</v>
      </c>
      <c r="AG16">
        <f>' typ oeil  formulle'!AG34</f>
        <v>0</v>
      </c>
      <c r="AH16">
        <f>' typ oeil  formulle'!AH34</f>
        <v>0</v>
      </c>
      <c r="AK16" t="str">
        <f>' typ oeil  formulle'!AK34</f>
        <v xml:space="preserve"> +0,75 à +0,51</v>
      </c>
      <c r="AL16">
        <f>' typ oeil  formulle'!AL34</f>
        <v>0</v>
      </c>
      <c r="AM16">
        <f>' typ oeil  formulle'!AM34</f>
        <v>0</v>
      </c>
      <c r="AN16">
        <f>' typ oeil  formulle'!AN34</f>
        <v>0</v>
      </c>
      <c r="AO16">
        <f>' typ oeil  formulle'!AO34</f>
        <v>0</v>
      </c>
      <c r="AR16" t="str">
        <f>' typ oeil  formulle'!AR34</f>
        <v xml:space="preserve"> +0,75 à +0,51</v>
      </c>
      <c r="AS16">
        <f>' typ oeil  formulle'!AS34</f>
        <v>0</v>
      </c>
      <c r="AT16">
        <f>' typ oeil  formulle'!AT34</f>
        <v>0</v>
      </c>
      <c r="AU16">
        <f>' typ oeil  formulle'!AU34</f>
        <v>0</v>
      </c>
      <c r="AV16">
        <f>' typ oeil  formulle'!AV34</f>
        <v>0</v>
      </c>
      <c r="AW16">
        <f>' typ oeil  formulle'!AW34</f>
        <v>0</v>
      </c>
      <c r="AX16">
        <f>' typ oeil  formulle'!AX34</f>
        <v>0</v>
      </c>
      <c r="AY16">
        <f>' typ oeil  formulle'!AY34</f>
        <v>0</v>
      </c>
    </row>
    <row r="17" spans="1:51" ht="19" x14ac:dyDescent="0.25">
      <c r="A17" s="2"/>
      <c r="B17" t="s">
        <v>144</v>
      </c>
      <c r="C17">
        <f>' typ oeil  formulle'!C35</f>
        <v>0</v>
      </c>
      <c r="D17">
        <f>' typ oeil  formulle'!D35</f>
        <v>0</v>
      </c>
      <c r="E17">
        <f>' typ oeil  formulle'!E35</f>
        <v>0</v>
      </c>
      <c r="F17">
        <f>' typ oeil  formulle'!F35</f>
        <v>0</v>
      </c>
      <c r="G17">
        <f>' typ oeil  formulle'!G35</f>
        <v>0</v>
      </c>
      <c r="H17">
        <f>' typ oeil  formulle'!H35</f>
        <v>0</v>
      </c>
      <c r="I17" t="str">
        <f>' typ oeil  formulle'!I35</f>
        <v xml:space="preserve"> +0,50 à +0,26</v>
      </c>
      <c r="J17">
        <f>' typ oeil  formulle'!J35</f>
        <v>0</v>
      </c>
      <c r="K17">
        <f>' typ oeil  formulle'!K35</f>
        <v>0</v>
      </c>
      <c r="L17">
        <f>' typ oeil  formulle'!L35</f>
        <v>0</v>
      </c>
      <c r="M17">
        <f>' typ oeil  formulle'!M35</f>
        <v>0</v>
      </c>
      <c r="N17">
        <f>' typ oeil  formulle'!N35</f>
        <v>0</v>
      </c>
      <c r="O17">
        <f>' typ oeil  formulle'!O35</f>
        <v>0</v>
      </c>
      <c r="P17" t="str">
        <f>' typ oeil  formulle'!P35</f>
        <v xml:space="preserve"> +0,50 à +0,26</v>
      </c>
      <c r="Q17">
        <f>' typ oeil  formulle'!Q35</f>
        <v>0</v>
      </c>
      <c r="R17">
        <f>' typ oeil  formulle'!R35</f>
        <v>0</v>
      </c>
      <c r="S17">
        <f>' typ oeil  formulle'!S35</f>
        <v>0</v>
      </c>
      <c r="T17">
        <f>' typ oeil  formulle'!T35</f>
        <v>0</v>
      </c>
      <c r="U17">
        <f>' typ oeil  formulle'!U35</f>
        <v>0</v>
      </c>
      <c r="V17">
        <f>' typ oeil  formulle'!V35</f>
        <v>0</v>
      </c>
      <c r="X17">
        <f>' typ oeil  formulle'!X35</f>
        <v>0</v>
      </c>
      <c r="Y17">
        <f>' typ oeil  formulle'!Y35</f>
        <v>0</v>
      </c>
      <c r="Z17">
        <f>' typ oeil  formulle'!Z35</f>
        <v>0</v>
      </c>
      <c r="AA17">
        <f>' typ oeil  formulle'!AA35</f>
        <v>0</v>
      </c>
      <c r="AB17">
        <f>' typ oeil  formulle'!AB35</f>
        <v>0</v>
      </c>
      <c r="AC17">
        <f>' typ oeil  formulle'!AC35</f>
        <v>0</v>
      </c>
      <c r="AD17" t="str">
        <f>' typ oeil  formulle'!AD35</f>
        <v xml:space="preserve"> +0,50 à +0,26</v>
      </c>
      <c r="AE17">
        <f>' typ oeil  formulle'!AE35</f>
        <v>0</v>
      </c>
      <c r="AF17">
        <f>' typ oeil  formulle'!AF35</f>
        <v>0</v>
      </c>
      <c r="AG17">
        <f>' typ oeil  formulle'!AG35</f>
        <v>0</v>
      </c>
      <c r="AH17">
        <f>' typ oeil  formulle'!AH35</f>
        <v>0</v>
      </c>
      <c r="AK17" t="str">
        <f>' typ oeil  formulle'!AK35</f>
        <v xml:space="preserve"> +0,50 à +0,26</v>
      </c>
      <c r="AL17">
        <f>' typ oeil  formulle'!AL35</f>
        <v>0</v>
      </c>
      <c r="AM17">
        <f>' typ oeil  formulle'!AM35</f>
        <v>0</v>
      </c>
      <c r="AN17">
        <f>' typ oeil  formulle'!AN35</f>
        <v>0</v>
      </c>
      <c r="AO17">
        <f>' typ oeil  formulle'!AO35</f>
        <v>0</v>
      </c>
      <c r="AR17" t="str">
        <f>' typ oeil  formulle'!AR35</f>
        <v xml:space="preserve"> +0,50 à +0,26</v>
      </c>
      <c r="AS17">
        <f>' typ oeil  formulle'!AS35</f>
        <v>0</v>
      </c>
      <c r="AT17">
        <f>' typ oeil  formulle'!AT35</f>
        <v>0</v>
      </c>
      <c r="AU17">
        <f>' typ oeil  formulle'!AU35</f>
        <v>0</v>
      </c>
      <c r="AV17">
        <f>' typ oeil  formulle'!AV35</f>
        <v>0</v>
      </c>
      <c r="AW17">
        <f>' typ oeil  formulle'!AW35</f>
        <v>0</v>
      </c>
      <c r="AX17">
        <f>' typ oeil  formulle'!AX35</f>
        <v>0</v>
      </c>
      <c r="AY17">
        <f>' typ oeil  formulle'!AY35</f>
        <v>0</v>
      </c>
    </row>
    <row r="18" spans="1:51" ht="19" x14ac:dyDescent="0.25">
      <c r="A18" s="2"/>
      <c r="B18" t="s">
        <v>145</v>
      </c>
      <c r="C18">
        <f>' typ oeil  formulle'!C36</f>
        <v>0</v>
      </c>
      <c r="D18">
        <f>' typ oeil  formulle'!D36</f>
        <v>0</v>
      </c>
      <c r="E18">
        <f>' typ oeil  formulle'!E36</f>
        <v>0</v>
      </c>
      <c r="F18">
        <f>' typ oeil  formulle'!F36</f>
        <v>0</v>
      </c>
      <c r="G18">
        <f>' typ oeil  formulle'!G36</f>
        <v>0</v>
      </c>
      <c r="H18">
        <f>' typ oeil  formulle'!H36</f>
        <v>0</v>
      </c>
      <c r="I18" t="str">
        <f>' typ oeil  formulle'!I36</f>
        <v xml:space="preserve"> +0,25 à -0,25</v>
      </c>
      <c r="J18">
        <f>' typ oeil  formulle'!J36</f>
        <v>0</v>
      </c>
      <c r="K18">
        <f>' typ oeil  formulle'!K36</f>
        <v>0</v>
      </c>
      <c r="L18">
        <f>' typ oeil  formulle'!L36</f>
        <v>0</v>
      </c>
      <c r="M18">
        <f>' typ oeil  formulle'!M36</f>
        <v>0</v>
      </c>
      <c r="N18">
        <f>' typ oeil  formulle'!N36</f>
        <v>0</v>
      </c>
      <c r="O18">
        <f>' typ oeil  formulle'!O36</f>
        <v>0</v>
      </c>
      <c r="P18" t="str">
        <f>' typ oeil  formulle'!P36</f>
        <v xml:space="preserve"> +0,25 à -0,25</v>
      </c>
      <c r="Q18">
        <f>' typ oeil  formulle'!Q36</f>
        <v>0</v>
      </c>
      <c r="R18">
        <f>' typ oeil  formulle'!R36</f>
        <v>0</v>
      </c>
      <c r="S18">
        <f>' typ oeil  formulle'!S36</f>
        <v>0</v>
      </c>
      <c r="T18">
        <f>' typ oeil  formulle'!T36</f>
        <v>0</v>
      </c>
      <c r="U18">
        <f>' typ oeil  formulle'!U36</f>
        <v>0</v>
      </c>
      <c r="V18">
        <f>' typ oeil  formulle'!V36</f>
        <v>0</v>
      </c>
      <c r="X18">
        <f>' typ oeil  formulle'!X36</f>
        <v>0</v>
      </c>
      <c r="Y18">
        <f>' typ oeil  formulle'!Y36</f>
        <v>0</v>
      </c>
      <c r="Z18">
        <f>' typ oeil  formulle'!Z36</f>
        <v>0</v>
      </c>
      <c r="AA18">
        <f>' typ oeil  formulle'!AA36</f>
        <v>0</v>
      </c>
      <c r="AB18">
        <f>' typ oeil  formulle'!AB36</f>
        <v>0</v>
      </c>
      <c r="AC18">
        <f>' typ oeil  formulle'!AC36</f>
        <v>0</v>
      </c>
      <c r="AD18" t="str">
        <f>' typ oeil  formulle'!AD36</f>
        <v xml:space="preserve"> +0,25 à -0,25</v>
      </c>
      <c r="AE18">
        <f>' typ oeil  formulle'!AE36</f>
        <v>0</v>
      </c>
      <c r="AF18">
        <f>' typ oeil  formulle'!AF36</f>
        <v>0</v>
      </c>
      <c r="AG18">
        <f>' typ oeil  formulle'!AG36</f>
        <v>0</v>
      </c>
      <c r="AH18">
        <f>' typ oeil  formulle'!AH36</f>
        <v>0</v>
      </c>
      <c r="AK18" t="str">
        <f>' typ oeil  formulle'!AK36</f>
        <v xml:space="preserve"> +0,25 à -0,25</v>
      </c>
      <c r="AL18">
        <f>' typ oeil  formulle'!AL36</f>
        <v>0</v>
      </c>
      <c r="AM18">
        <f>' typ oeil  formulle'!AM36</f>
        <v>0</v>
      </c>
      <c r="AN18">
        <f>' typ oeil  formulle'!AN36</f>
        <v>0</v>
      </c>
      <c r="AO18">
        <f>' typ oeil  formulle'!AO36</f>
        <v>0</v>
      </c>
      <c r="AR18" t="str">
        <f>' typ oeil  formulle'!AR36</f>
        <v xml:space="preserve"> +0,25 à -0,25</v>
      </c>
      <c r="AS18">
        <f>' typ oeil  formulle'!AS36</f>
        <v>0</v>
      </c>
      <c r="AT18">
        <f>' typ oeil  formulle'!AT36</f>
        <v>0</v>
      </c>
      <c r="AU18">
        <f>' typ oeil  formulle'!AU36</f>
        <v>0</v>
      </c>
      <c r="AV18">
        <f>' typ oeil  formulle'!AV36</f>
        <v>0</v>
      </c>
      <c r="AW18">
        <f>' typ oeil  formulle'!AW36</f>
        <v>0</v>
      </c>
      <c r="AX18">
        <f>' typ oeil  formulle'!AX36</f>
        <v>0</v>
      </c>
      <c r="AY18">
        <f>' typ oeil  formulle'!AY36</f>
        <v>0</v>
      </c>
    </row>
    <row r="19" spans="1:51" ht="19" x14ac:dyDescent="0.25">
      <c r="A19" s="2"/>
      <c r="B19" t="s">
        <v>146</v>
      </c>
      <c r="C19">
        <f>' typ oeil  formulle'!C37</f>
        <v>0</v>
      </c>
      <c r="D19">
        <f>' typ oeil  formulle'!D37</f>
        <v>0</v>
      </c>
      <c r="E19">
        <f>' typ oeil  formulle'!E37</f>
        <v>0</v>
      </c>
      <c r="F19">
        <f>' typ oeil  formulle'!F37</f>
        <v>0</v>
      </c>
      <c r="G19">
        <f>' typ oeil  formulle'!G37</f>
        <v>0</v>
      </c>
      <c r="H19">
        <f>' typ oeil  formulle'!H37</f>
        <v>0</v>
      </c>
      <c r="I19" t="str">
        <f>' typ oeil  formulle'!I37</f>
        <v xml:space="preserve"> -0,26 à -0,50</v>
      </c>
      <c r="J19">
        <f>' typ oeil  formulle'!J37</f>
        <v>0</v>
      </c>
      <c r="K19">
        <f>' typ oeil  formulle'!K37</f>
        <v>0</v>
      </c>
      <c r="L19">
        <f>' typ oeil  formulle'!L37</f>
        <v>0</v>
      </c>
      <c r="M19">
        <f>' typ oeil  formulle'!M37</f>
        <v>0</v>
      </c>
      <c r="N19">
        <f>' typ oeil  formulle'!N37</f>
        <v>0</v>
      </c>
      <c r="O19">
        <f>' typ oeil  formulle'!O37</f>
        <v>0</v>
      </c>
      <c r="P19" t="str">
        <f>' typ oeil  formulle'!P37</f>
        <v xml:space="preserve"> -0,26 à -0,50</v>
      </c>
      <c r="Q19">
        <f>' typ oeil  formulle'!Q37</f>
        <v>0</v>
      </c>
      <c r="R19">
        <f>' typ oeil  formulle'!R37</f>
        <v>0</v>
      </c>
      <c r="S19">
        <f>' typ oeil  formulle'!S37</f>
        <v>0</v>
      </c>
      <c r="T19">
        <f>' typ oeil  formulle'!T37</f>
        <v>0</v>
      </c>
      <c r="U19">
        <f>' typ oeil  formulle'!U37</f>
        <v>0</v>
      </c>
      <c r="V19">
        <f>' typ oeil  formulle'!V37</f>
        <v>0</v>
      </c>
      <c r="X19">
        <f>' typ oeil  formulle'!X37</f>
        <v>0</v>
      </c>
      <c r="Y19">
        <f>' typ oeil  formulle'!Y37</f>
        <v>0</v>
      </c>
      <c r="Z19">
        <f>' typ oeil  formulle'!Z37</f>
        <v>0</v>
      </c>
      <c r="AA19">
        <f>' typ oeil  formulle'!AA37</f>
        <v>0</v>
      </c>
      <c r="AB19">
        <f>' typ oeil  formulle'!AB37</f>
        <v>0</v>
      </c>
      <c r="AC19">
        <f>' typ oeil  formulle'!AC37</f>
        <v>0</v>
      </c>
      <c r="AD19" t="str">
        <f>' typ oeil  formulle'!AD37</f>
        <v xml:space="preserve"> -0,26 à -0,50</v>
      </c>
      <c r="AE19">
        <f>' typ oeil  formulle'!AE37</f>
        <v>0</v>
      </c>
      <c r="AF19">
        <f>' typ oeil  formulle'!AF37</f>
        <v>0</v>
      </c>
      <c r="AG19">
        <f>' typ oeil  formulle'!AG37</f>
        <v>0</v>
      </c>
      <c r="AH19">
        <f>' typ oeil  formulle'!AH37</f>
        <v>0</v>
      </c>
      <c r="AK19" t="str">
        <f>' typ oeil  formulle'!AK37</f>
        <v xml:space="preserve"> -0,26 à -0,50</v>
      </c>
      <c r="AL19">
        <f>' typ oeil  formulle'!AL37</f>
        <v>0</v>
      </c>
      <c r="AM19">
        <f>' typ oeil  formulle'!AM37</f>
        <v>0</v>
      </c>
      <c r="AN19">
        <f>' typ oeil  formulle'!AN37</f>
        <v>0</v>
      </c>
      <c r="AO19">
        <f>' typ oeil  formulle'!AO37</f>
        <v>0</v>
      </c>
      <c r="AR19" t="str">
        <f>' typ oeil  formulle'!AR37</f>
        <v xml:space="preserve"> -0,26 à -0,50</v>
      </c>
      <c r="AS19">
        <f>' typ oeil  formulle'!AS37</f>
        <v>0</v>
      </c>
      <c r="AT19">
        <f>' typ oeil  formulle'!AT37</f>
        <v>0</v>
      </c>
      <c r="AU19">
        <f>' typ oeil  formulle'!AU37</f>
        <v>0</v>
      </c>
      <c r="AV19">
        <f>' typ oeil  formulle'!AV37</f>
        <v>0</v>
      </c>
      <c r="AW19">
        <f>' typ oeil  formulle'!AW37</f>
        <v>0</v>
      </c>
      <c r="AX19">
        <f>' typ oeil  formulle'!AX37</f>
        <v>0</v>
      </c>
      <c r="AY19">
        <f>' typ oeil  formulle'!AY37</f>
        <v>0</v>
      </c>
    </row>
    <row r="20" spans="1:51" ht="19" x14ac:dyDescent="0.25">
      <c r="A20" s="2"/>
      <c r="B20" t="s">
        <v>147</v>
      </c>
      <c r="C20">
        <f>' typ oeil  formulle'!C38</f>
        <v>0</v>
      </c>
      <c r="D20">
        <f>' typ oeil  formulle'!D38</f>
        <v>0</v>
      </c>
      <c r="E20">
        <f>' typ oeil  formulle'!E38</f>
        <v>0</v>
      </c>
      <c r="F20">
        <f>' typ oeil  formulle'!F38</f>
        <v>0</v>
      </c>
      <c r="G20">
        <f>' typ oeil  formulle'!G38</f>
        <v>0</v>
      </c>
      <c r="H20">
        <f>' typ oeil  formulle'!H38</f>
        <v>0</v>
      </c>
      <c r="I20" t="str">
        <f>' typ oeil  formulle'!I38</f>
        <v xml:space="preserve"> -0,51 à -0,75</v>
      </c>
      <c r="J20">
        <f>' typ oeil  formulle'!J38</f>
        <v>0</v>
      </c>
      <c r="K20">
        <f>' typ oeil  formulle'!K38</f>
        <v>0</v>
      </c>
      <c r="L20">
        <f>' typ oeil  formulle'!L38</f>
        <v>0</v>
      </c>
      <c r="M20">
        <f>' typ oeil  formulle'!M38</f>
        <v>0</v>
      </c>
      <c r="N20">
        <f>' typ oeil  formulle'!N38</f>
        <v>0</v>
      </c>
      <c r="O20">
        <f>' typ oeil  formulle'!O38</f>
        <v>0</v>
      </c>
      <c r="P20" t="str">
        <f>' typ oeil  formulle'!P38</f>
        <v xml:space="preserve"> -0,51 à -0,75</v>
      </c>
      <c r="Q20">
        <f>' typ oeil  formulle'!Q38</f>
        <v>0</v>
      </c>
      <c r="R20">
        <f>' typ oeil  formulle'!R38</f>
        <v>0</v>
      </c>
      <c r="S20">
        <f>' typ oeil  formulle'!S38</f>
        <v>0</v>
      </c>
      <c r="T20">
        <f>' typ oeil  formulle'!T38</f>
        <v>0</v>
      </c>
      <c r="U20">
        <f>' typ oeil  formulle'!U38</f>
        <v>0</v>
      </c>
      <c r="V20">
        <f>' typ oeil  formulle'!V38</f>
        <v>0</v>
      </c>
      <c r="X20">
        <f>' typ oeil  formulle'!X38</f>
        <v>0</v>
      </c>
      <c r="Y20">
        <f>' typ oeil  formulle'!Y38</f>
        <v>0</v>
      </c>
      <c r="Z20">
        <f>' typ oeil  formulle'!Z38</f>
        <v>0</v>
      </c>
      <c r="AA20">
        <f>' typ oeil  formulle'!AA38</f>
        <v>0</v>
      </c>
      <c r="AB20">
        <f>' typ oeil  formulle'!AB38</f>
        <v>0</v>
      </c>
      <c r="AC20">
        <f>' typ oeil  formulle'!AC38</f>
        <v>0</v>
      </c>
      <c r="AD20" t="str">
        <f>' typ oeil  formulle'!AD38</f>
        <v xml:space="preserve"> -0,51 à -0,75</v>
      </c>
      <c r="AE20">
        <f>' typ oeil  formulle'!AE38</f>
        <v>0</v>
      </c>
      <c r="AF20">
        <f>' typ oeil  formulle'!AF38</f>
        <v>0</v>
      </c>
      <c r="AG20">
        <f>' typ oeil  formulle'!AG38</f>
        <v>0</v>
      </c>
      <c r="AH20">
        <f>' typ oeil  formulle'!AH38</f>
        <v>0</v>
      </c>
      <c r="AK20" t="str">
        <f>' typ oeil  formulle'!AK38</f>
        <v xml:space="preserve"> -0,51 à -0,75</v>
      </c>
      <c r="AL20">
        <f>' typ oeil  formulle'!AL38</f>
        <v>0</v>
      </c>
      <c r="AM20">
        <f>' typ oeil  formulle'!AM38</f>
        <v>0</v>
      </c>
      <c r="AN20">
        <f>' typ oeil  formulle'!AN38</f>
        <v>0</v>
      </c>
      <c r="AO20">
        <f>' typ oeil  formulle'!AO38</f>
        <v>0</v>
      </c>
      <c r="AR20" t="str">
        <f>' typ oeil  formulle'!AR38</f>
        <v xml:space="preserve"> -0,51 à -0,75</v>
      </c>
      <c r="AS20">
        <f>' typ oeil  formulle'!AS38</f>
        <v>0</v>
      </c>
      <c r="AT20">
        <f>' typ oeil  formulle'!AT38</f>
        <v>0</v>
      </c>
      <c r="AU20">
        <f>' typ oeil  formulle'!AU38</f>
        <v>0</v>
      </c>
      <c r="AV20">
        <f>' typ oeil  formulle'!AV38</f>
        <v>0</v>
      </c>
      <c r="AW20">
        <f>' typ oeil  formulle'!AW38</f>
        <v>0</v>
      </c>
      <c r="AX20">
        <f>' typ oeil  formulle'!AX38</f>
        <v>0</v>
      </c>
      <c r="AY20">
        <f>' typ oeil  formulle'!AY38</f>
        <v>0</v>
      </c>
    </row>
    <row r="21" spans="1:51" ht="19" x14ac:dyDescent="0.25">
      <c r="A21" s="2"/>
      <c r="B21" t="s">
        <v>148</v>
      </c>
      <c r="C21">
        <f>' typ oeil  formulle'!C39</f>
        <v>0</v>
      </c>
      <c r="D21">
        <f>' typ oeil  formulle'!D39</f>
        <v>0</v>
      </c>
      <c r="E21">
        <f>' typ oeil  formulle'!E39</f>
        <v>0</v>
      </c>
      <c r="F21">
        <f>' typ oeil  formulle'!F39</f>
        <v>0</v>
      </c>
      <c r="G21">
        <f>' typ oeil  formulle'!G39</f>
        <v>0</v>
      </c>
      <c r="H21">
        <f>' typ oeil  formulle'!H39</f>
        <v>0</v>
      </c>
      <c r="I21" t="str">
        <f>' typ oeil  formulle'!I39</f>
        <v xml:space="preserve"> -0,76 -1,0</v>
      </c>
      <c r="J21">
        <f>' typ oeil  formulle'!J39</f>
        <v>0</v>
      </c>
      <c r="K21">
        <f>' typ oeil  formulle'!K39</f>
        <v>0</v>
      </c>
      <c r="L21">
        <f>' typ oeil  formulle'!L39</f>
        <v>0</v>
      </c>
      <c r="M21">
        <f>' typ oeil  formulle'!M39</f>
        <v>0</v>
      </c>
      <c r="N21">
        <f>' typ oeil  formulle'!N39</f>
        <v>0</v>
      </c>
      <c r="O21">
        <f>' typ oeil  formulle'!O39</f>
        <v>0</v>
      </c>
      <c r="P21" t="str">
        <f>' typ oeil  formulle'!P39</f>
        <v xml:space="preserve"> -0,76 -1,0</v>
      </c>
      <c r="Q21">
        <f>' typ oeil  formulle'!Q39</f>
        <v>0</v>
      </c>
      <c r="R21">
        <f>' typ oeil  formulle'!R39</f>
        <v>0</v>
      </c>
      <c r="S21">
        <f>' typ oeil  formulle'!S39</f>
        <v>0</v>
      </c>
      <c r="T21">
        <f>' typ oeil  formulle'!T39</f>
        <v>0</v>
      </c>
      <c r="U21">
        <f>' typ oeil  formulle'!U39</f>
        <v>0</v>
      </c>
      <c r="V21">
        <f>' typ oeil  formulle'!V39</f>
        <v>0</v>
      </c>
      <c r="X21">
        <f>' typ oeil  formulle'!X39</f>
        <v>0</v>
      </c>
      <c r="Y21">
        <f>' typ oeil  formulle'!Y39</f>
        <v>0</v>
      </c>
      <c r="Z21">
        <f>' typ oeil  formulle'!Z39</f>
        <v>0</v>
      </c>
      <c r="AA21">
        <f>' typ oeil  formulle'!AA39</f>
        <v>0</v>
      </c>
      <c r="AB21">
        <f>' typ oeil  formulle'!AB39</f>
        <v>0</v>
      </c>
      <c r="AC21">
        <f>' typ oeil  formulle'!AC39</f>
        <v>0</v>
      </c>
      <c r="AD21" t="str">
        <f>' typ oeil  formulle'!AD39</f>
        <v xml:space="preserve"> -0,76 -1,0</v>
      </c>
      <c r="AE21">
        <f>' typ oeil  formulle'!AE39</f>
        <v>0</v>
      </c>
      <c r="AF21">
        <f>' typ oeil  formulle'!AF39</f>
        <v>0</v>
      </c>
      <c r="AG21">
        <f>' typ oeil  formulle'!AG39</f>
        <v>0</v>
      </c>
      <c r="AH21">
        <f>' typ oeil  formulle'!AH39</f>
        <v>0</v>
      </c>
      <c r="AK21" t="str">
        <f>' typ oeil  formulle'!AK39</f>
        <v xml:space="preserve"> -0,76 -1,0</v>
      </c>
      <c r="AL21">
        <f>' typ oeil  formulle'!AL39</f>
        <v>0</v>
      </c>
      <c r="AM21">
        <f>' typ oeil  formulle'!AM39</f>
        <v>0</v>
      </c>
      <c r="AN21">
        <f>' typ oeil  formulle'!AN39</f>
        <v>0</v>
      </c>
      <c r="AO21">
        <f>' typ oeil  formulle'!AO39</f>
        <v>0</v>
      </c>
      <c r="AR21" t="str">
        <f>' typ oeil  formulle'!AR39</f>
        <v xml:space="preserve"> -0,76 -1,0</v>
      </c>
      <c r="AS21">
        <f>' typ oeil  formulle'!AS39</f>
        <v>0</v>
      </c>
      <c r="AT21">
        <f>' typ oeil  formulle'!AT39</f>
        <v>0</v>
      </c>
      <c r="AU21">
        <f>' typ oeil  formulle'!AU39</f>
        <v>0</v>
      </c>
      <c r="AV21">
        <f>' typ oeil  formulle'!AV39</f>
        <v>0</v>
      </c>
      <c r="AW21">
        <f>' typ oeil  formulle'!AW39</f>
        <v>0</v>
      </c>
      <c r="AX21">
        <f>' typ oeil  formulle'!AX39</f>
        <v>0</v>
      </c>
      <c r="AY21">
        <f>' typ oeil  formulle'!AY39</f>
        <v>0</v>
      </c>
    </row>
    <row r="22" spans="1:51" ht="19" x14ac:dyDescent="0.25">
      <c r="A22" s="2"/>
      <c r="B22" t="s">
        <v>149</v>
      </c>
      <c r="C22">
        <f>' typ oeil  formulle'!C40</f>
        <v>0</v>
      </c>
      <c r="D22">
        <f>' typ oeil  formulle'!D40</f>
        <v>0</v>
      </c>
      <c r="E22">
        <f>' typ oeil  formulle'!E40</f>
        <v>0</v>
      </c>
      <c r="F22">
        <f>' typ oeil  formulle'!F40</f>
        <v>0</v>
      </c>
      <c r="G22">
        <f>' typ oeil  formulle'!G40</f>
        <v>0</v>
      </c>
      <c r="H22">
        <f>' typ oeil  formulle'!H40</f>
        <v>0</v>
      </c>
      <c r="I22" t="str">
        <f>' typ oeil  formulle'!I40</f>
        <v>&gt; -1,0</v>
      </c>
      <c r="J22">
        <f>' typ oeil  formulle'!J40</f>
        <v>0</v>
      </c>
      <c r="K22">
        <f>' typ oeil  formulle'!K40</f>
        <v>0</v>
      </c>
      <c r="L22">
        <f>' typ oeil  formulle'!L40</f>
        <v>0</v>
      </c>
      <c r="M22">
        <f>' typ oeil  formulle'!M40</f>
        <v>0</v>
      </c>
      <c r="N22">
        <f>' typ oeil  formulle'!N40</f>
        <v>0</v>
      </c>
      <c r="O22">
        <f>' typ oeil  formulle'!O40</f>
        <v>0</v>
      </c>
      <c r="P22" t="str">
        <f>' typ oeil  formulle'!P40</f>
        <v>&gt; -1,0</v>
      </c>
      <c r="Q22">
        <f>' typ oeil  formulle'!Q40</f>
        <v>0</v>
      </c>
      <c r="R22">
        <f>' typ oeil  formulle'!R40</f>
        <v>0</v>
      </c>
      <c r="S22">
        <f>' typ oeil  formulle'!S40</f>
        <v>0</v>
      </c>
      <c r="T22">
        <f>' typ oeil  formulle'!T40</f>
        <v>0</v>
      </c>
      <c r="U22">
        <f>' typ oeil  formulle'!U40</f>
        <v>0</v>
      </c>
      <c r="V22">
        <f>' typ oeil  formulle'!V40</f>
        <v>0</v>
      </c>
      <c r="X22">
        <f>' typ oeil  formulle'!X40</f>
        <v>0</v>
      </c>
      <c r="Y22">
        <f>' typ oeil  formulle'!Y40</f>
        <v>0</v>
      </c>
      <c r="Z22">
        <f>' typ oeil  formulle'!Z40</f>
        <v>0</v>
      </c>
      <c r="AA22">
        <f>' typ oeil  formulle'!AA40</f>
        <v>0</v>
      </c>
      <c r="AB22">
        <f>' typ oeil  formulle'!AB40</f>
        <v>0</v>
      </c>
      <c r="AC22">
        <f>' typ oeil  formulle'!AC40</f>
        <v>0</v>
      </c>
      <c r="AD22" t="str">
        <f>' typ oeil  formulle'!AD40</f>
        <v>&gt; -1,0</v>
      </c>
      <c r="AE22">
        <f>' typ oeil  formulle'!AE40</f>
        <v>0</v>
      </c>
      <c r="AF22">
        <f>' typ oeil  formulle'!AF40</f>
        <v>0</v>
      </c>
      <c r="AG22">
        <f>' typ oeil  formulle'!AG40</f>
        <v>0</v>
      </c>
      <c r="AH22">
        <f>' typ oeil  formulle'!AH40</f>
        <v>0</v>
      </c>
      <c r="AK22" t="str">
        <f>' typ oeil  formulle'!AK40</f>
        <v>&gt; -1,0</v>
      </c>
      <c r="AL22">
        <f>' typ oeil  formulle'!AL40</f>
        <v>0</v>
      </c>
      <c r="AM22">
        <f>' typ oeil  formulle'!AM40</f>
        <v>0</v>
      </c>
      <c r="AN22">
        <f>' typ oeil  formulle'!AN40</f>
        <v>0</v>
      </c>
      <c r="AO22">
        <f>' typ oeil  formulle'!AO40</f>
        <v>0</v>
      </c>
      <c r="AR22" t="str">
        <f>' typ oeil  formulle'!AR40</f>
        <v>&gt; -1,0</v>
      </c>
      <c r="AS22">
        <f>' typ oeil  formulle'!AS40</f>
        <v>0</v>
      </c>
      <c r="AT22">
        <f>' typ oeil  formulle'!AT40</f>
        <v>0</v>
      </c>
      <c r="AU22">
        <f>' typ oeil  formulle'!AU40</f>
        <v>0</v>
      </c>
      <c r="AV22">
        <f>' typ oeil  formulle'!AV40</f>
        <v>0</v>
      </c>
      <c r="AW22">
        <f>' typ oeil  formulle'!AW40</f>
        <v>0</v>
      </c>
      <c r="AX22">
        <f>' typ oeil  formulle'!AX40</f>
        <v>0</v>
      </c>
      <c r="AY22">
        <f>' typ oeil  formulle'!AY40</f>
        <v>0</v>
      </c>
    </row>
    <row r="23" spans="1:51" ht="19" x14ac:dyDescent="0.25">
      <c r="A23" s="2"/>
      <c r="B23" s="2" t="s">
        <v>26</v>
      </c>
    </row>
    <row r="24" spans="1:51" ht="19" x14ac:dyDescent="0.25">
      <c r="A24" s="2"/>
      <c r="B24" t="s">
        <v>150</v>
      </c>
      <c r="C24">
        <f>' typ oeil  formulle'!C59</f>
        <v>0</v>
      </c>
      <c r="D24">
        <f>' typ oeil  formulle'!D59</f>
        <v>0</v>
      </c>
      <c r="E24">
        <f>' typ oeil  formulle'!E59</f>
        <v>0</v>
      </c>
      <c r="F24">
        <f>' typ oeil  formulle'!F59</f>
        <v>0</v>
      </c>
      <c r="G24">
        <f>' typ oeil  formulle'!G59</f>
        <v>0</v>
      </c>
      <c r="H24">
        <f>' typ oeil  formulle'!H59</f>
        <v>0</v>
      </c>
      <c r="I24" t="str">
        <f>' typ oeil  formulle'!I59</f>
        <v>&gt;+1,0</v>
      </c>
      <c r="J24">
        <f>' typ oeil  formulle'!J59</f>
        <v>0</v>
      </c>
      <c r="K24">
        <f>' typ oeil  formulle'!K59</f>
        <v>0</v>
      </c>
      <c r="L24">
        <f>' typ oeil  formulle'!L59</f>
        <v>0</v>
      </c>
      <c r="M24">
        <f>' typ oeil  formulle'!M59</f>
        <v>0</v>
      </c>
      <c r="N24">
        <f>' typ oeil  formulle'!N59</f>
        <v>0</v>
      </c>
      <c r="O24">
        <f>' typ oeil  formulle'!O59</f>
        <v>0</v>
      </c>
      <c r="P24" t="str">
        <f>' typ oeil  formulle'!P59</f>
        <v>&gt;+1,0</v>
      </c>
      <c r="Q24">
        <f>' typ oeil  formulle'!Q59</f>
        <v>0</v>
      </c>
      <c r="R24">
        <f>' typ oeil  formulle'!R59</f>
        <v>0</v>
      </c>
      <c r="S24">
        <f>' typ oeil  formulle'!S59</f>
        <v>0</v>
      </c>
      <c r="T24">
        <f>' typ oeil  formulle'!T59</f>
        <v>0</v>
      </c>
      <c r="U24">
        <f>' typ oeil  formulle'!U59</f>
        <v>0</v>
      </c>
      <c r="V24">
        <f>' typ oeil  formulle'!V59</f>
        <v>0</v>
      </c>
      <c r="W24" t="str">
        <f>' typ oeil  formulle'!W59</f>
        <v>&gt;+1,0</v>
      </c>
      <c r="X24">
        <f>' typ oeil  formulle'!X59</f>
        <v>0</v>
      </c>
      <c r="Y24">
        <f>' typ oeil  formulle'!Y59</f>
        <v>0</v>
      </c>
      <c r="Z24">
        <f>' typ oeil  formulle'!Z59</f>
        <v>0</v>
      </c>
      <c r="AA24">
        <f>' typ oeil  formulle'!AA59</f>
        <v>0</v>
      </c>
      <c r="AB24">
        <f>' typ oeil  formulle'!AB59</f>
        <v>0</v>
      </c>
      <c r="AD24" t="str">
        <f>' typ oeil  formulle'!AD59</f>
        <v>&gt;+1,0</v>
      </c>
      <c r="AE24">
        <f>' typ oeil  formulle'!AE59</f>
        <v>0</v>
      </c>
      <c r="AF24">
        <f>' typ oeil  formulle'!AF59</f>
        <v>0</v>
      </c>
      <c r="AG24">
        <f>' typ oeil  formulle'!AG59</f>
        <v>0</v>
      </c>
      <c r="AH24">
        <f>' typ oeil  formulle'!AH59</f>
        <v>0</v>
      </c>
      <c r="AK24" t="str">
        <f>' typ oeil  formulle'!AK59</f>
        <v>&gt;+1,0</v>
      </c>
      <c r="AL24">
        <f>' typ oeil  formulle'!AL59</f>
        <v>0</v>
      </c>
      <c r="AM24">
        <f>' typ oeil  formulle'!AM59</f>
        <v>0</v>
      </c>
      <c r="AN24">
        <f>' typ oeil  formulle'!AN59</f>
        <v>0</v>
      </c>
      <c r="AO24">
        <f>' typ oeil  formulle'!AO59</f>
        <v>0</v>
      </c>
      <c r="AR24" t="str">
        <f>' typ oeil  formulle'!AR59</f>
        <v>&gt;+1,0</v>
      </c>
      <c r="AS24">
        <f>' typ oeil  formulle'!AS59</f>
        <v>0</v>
      </c>
      <c r="AT24">
        <f>' typ oeil  formulle'!AT59</f>
        <v>0</v>
      </c>
      <c r="AU24">
        <f>' typ oeil  formulle'!AU59</f>
        <v>0</v>
      </c>
      <c r="AV24">
        <f>' typ oeil  formulle'!AV59</f>
        <v>0</v>
      </c>
      <c r="AW24">
        <f>' typ oeil  formulle'!AW59</f>
        <v>0</v>
      </c>
      <c r="AX24">
        <f>' typ oeil  formulle'!AX59</f>
        <v>0</v>
      </c>
      <c r="AY24">
        <f>' typ oeil  formulle'!AY59</f>
        <v>0</v>
      </c>
    </row>
    <row r="25" spans="1:51" ht="19" x14ac:dyDescent="0.25">
      <c r="A25" s="2"/>
      <c r="B25" t="s">
        <v>151</v>
      </c>
      <c r="C25">
        <f>' typ oeil  formulle'!C60</f>
        <v>0</v>
      </c>
      <c r="D25">
        <f>' typ oeil  formulle'!D60</f>
        <v>0</v>
      </c>
      <c r="E25">
        <f>' typ oeil  formulle'!E60</f>
        <v>0</v>
      </c>
      <c r="F25">
        <f>' typ oeil  formulle'!F60</f>
        <v>0</v>
      </c>
      <c r="G25">
        <f>' typ oeil  formulle'!G60</f>
        <v>0</v>
      </c>
      <c r="H25">
        <f>' typ oeil  formulle'!H60</f>
        <v>0</v>
      </c>
      <c r="I25" t="str">
        <f>' typ oeil  formulle'!I60</f>
        <v xml:space="preserve"> +1,0 à +0,76</v>
      </c>
      <c r="J25">
        <f>' typ oeil  formulle'!J60</f>
        <v>0</v>
      </c>
      <c r="K25">
        <f>' typ oeil  formulle'!K60</f>
        <v>0</v>
      </c>
      <c r="L25">
        <f>' typ oeil  formulle'!L60</f>
        <v>0</v>
      </c>
      <c r="M25">
        <f>' typ oeil  formulle'!M60</f>
        <v>0</v>
      </c>
      <c r="N25">
        <f>' typ oeil  formulle'!N60</f>
        <v>0</v>
      </c>
      <c r="O25">
        <f>' typ oeil  formulle'!O60</f>
        <v>0</v>
      </c>
      <c r="P25" t="str">
        <f>' typ oeil  formulle'!P60</f>
        <v xml:space="preserve"> +1,0 à +0,76</v>
      </c>
      <c r="Q25">
        <f>' typ oeil  formulle'!Q60</f>
        <v>0</v>
      </c>
      <c r="R25">
        <f>' typ oeil  formulle'!R60</f>
        <v>0</v>
      </c>
      <c r="S25">
        <f>' typ oeil  formulle'!S60</f>
        <v>0</v>
      </c>
      <c r="T25">
        <f>' typ oeil  formulle'!T60</f>
        <v>0</v>
      </c>
      <c r="U25">
        <f>' typ oeil  formulle'!U60</f>
        <v>0</v>
      </c>
      <c r="V25">
        <f>' typ oeil  formulle'!V60</f>
        <v>0</v>
      </c>
      <c r="W25" t="str">
        <f>' typ oeil  formulle'!W60</f>
        <v xml:space="preserve"> +1,0 à +0,76</v>
      </c>
      <c r="X25">
        <f>' typ oeil  formulle'!X60</f>
        <v>0</v>
      </c>
      <c r="Y25">
        <f>' typ oeil  formulle'!Y60</f>
        <v>0</v>
      </c>
      <c r="Z25">
        <f>' typ oeil  formulle'!Z60</f>
        <v>0</v>
      </c>
      <c r="AA25">
        <f>' typ oeil  formulle'!AA60</f>
        <v>0</v>
      </c>
      <c r="AB25">
        <f>' typ oeil  formulle'!AB60</f>
        <v>0</v>
      </c>
      <c r="AD25" t="str">
        <f>' typ oeil  formulle'!AD60</f>
        <v xml:space="preserve"> +1,0 à +0,76</v>
      </c>
      <c r="AE25">
        <f>' typ oeil  formulle'!AE60</f>
        <v>0</v>
      </c>
      <c r="AF25">
        <f>' typ oeil  formulle'!AF60</f>
        <v>0</v>
      </c>
      <c r="AG25">
        <f>' typ oeil  formulle'!AG60</f>
        <v>0</v>
      </c>
      <c r="AH25">
        <f>' typ oeil  formulle'!AH60</f>
        <v>0</v>
      </c>
      <c r="AK25" t="str">
        <f>' typ oeil  formulle'!AK60</f>
        <v xml:space="preserve"> +1,0 à +0,76</v>
      </c>
      <c r="AL25">
        <f>' typ oeil  formulle'!AL60</f>
        <v>0</v>
      </c>
      <c r="AM25">
        <f>' typ oeil  formulle'!AM60</f>
        <v>0</v>
      </c>
      <c r="AN25">
        <f>' typ oeil  formulle'!AN60</f>
        <v>0</v>
      </c>
      <c r="AO25">
        <f>' typ oeil  formulle'!AO60</f>
        <v>0</v>
      </c>
      <c r="AR25" t="str">
        <f>' typ oeil  formulle'!AR60</f>
        <v xml:space="preserve"> +1,0 à +0,76</v>
      </c>
      <c r="AS25">
        <f>' typ oeil  formulle'!AS60</f>
        <v>0</v>
      </c>
      <c r="AT25">
        <f>' typ oeil  formulle'!AT60</f>
        <v>0</v>
      </c>
      <c r="AU25">
        <f>' typ oeil  formulle'!AU60</f>
        <v>0</v>
      </c>
      <c r="AV25">
        <f>' typ oeil  formulle'!AV60</f>
        <v>0</v>
      </c>
      <c r="AW25">
        <f>' typ oeil  formulle'!AW60</f>
        <v>0</v>
      </c>
      <c r="AX25">
        <f>' typ oeil  formulle'!AX60</f>
        <v>0</v>
      </c>
      <c r="AY25">
        <f>' typ oeil  formulle'!AY60</f>
        <v>0</v>
      </c>
    </row>
    <row r="26" spans="1:51" ht="19" x14ac:dyDescent="0.25">
      <c r="A26" s="2"/>
      <c r="B26" t="s">
        <v>152</v>
      </c>
      <c r="C26">
        <f>' typ oeil  formulle'!C61</f>
        <v>0</v>
      </c>
      <c r="D26">
        <f>' typ oeil  formulle'!D61</f>
        <v>0</v>
      </c>
      <c r="E26">
        <f>' typ oeil  formulle'!E61</f>
        <v>0</v>
      </c>
      <c r="F26">
        <f>' typ oeil  formulle'!F61</f>
        <v>0</v>
      </c>
      <c r="G26">
        <f>' typ oeil  formulle'!G61</f>
        <v>0</v>
      </c>
      <c r="H26">
        <f>' typ oeil  formulle'!H61</f>
        <v>0</v>
      </c>
      <c r="I26" t="str">
        <f>' typ oeil  formulle'!I61</f>
        <v xml:space="preserve"> +0,75 à +0,51</v>
      </c>
      <c r="J26">
        <f>' typ oeil  formulle'!J61</f>
        <v>0</v>
      </c>
      <c r="K26">
        <f>' typ oeil  formulle'!K61</f>
        <v>0</v>
      </c>
      <c r="L26">
        <f>' typ oeil  formulle'!L61</f>
        <v>0</v>
      </c>
      <c r="M26">
        <f>' typ oeil  formulle'!M61</f>
        <v>0</v>
      </c>
      <c r="N26">
        <f>' typ oeil  formulle'!N61</f>
        <v>0</v>
      </c>
      <c r="O26">
        <f>' typ oeil  formulle'!O61</f>
        <v>0</v>
      </c>
      <c r="P26" t="str">
        <f>' typ oeil  formulle'!P61</f>
        <v xml:space="preserve"> +0,75 à +0,51</v>
      </c>
      <c r="Q26">
        <f>' typ oeil  formulle'!Q61</f>
        <v>0</v>
      </c>
      <c r="R26">
        <f>' typ oeil  formulle'!R61</f>
        <v>0</v>
      </c>
      <c r="S26">
        <f>' typ oeil  formulle'!S61</f>
        <v>0</v>
      </c>
      <c r="T26">
        <f>' typ oeil  formulle'!T61</f>
        <v>0</v>
      </c>
      <c r="U26">
        <f>' typ oeil  formulle'!U61</f>
        <v>0</v>
      </c>
      <c r="V26">
        <f>' typ oeil  formulle'!V61</f>
        <v>0</v>
      </c>
      <c r="W26" t="str">
        <f>' typ oeil  formulle'!W61</f>
        <v xml:space="preserve"> +0,75 à +0,51</v>
      </c>
      <c r="X26">
        <f>' typ oeil  formulle'!X61</f>
        <v>0</v>
      </c>
      <c r="Y26">
        <f>' typ oeil  formulle'!Y61</f>
        <v>0</v>
      </c>
      <c r="Z26">
        <f>' typ oeil  formulle'!Z61</f>
        <v>0</v>
      </c>
      <c r="AA26">
        <f>' typ oeil  formulle'!AA61</f>
        <v>0</v>
      </c>
      <c r="AB26">
        <f>' typ oeil  formulle'!AB61</f>
        <v>0</v>
      </c>
      <c r="AD26" t="str">
        <f>' typ oeil  formulle'!AD61</f>
        <v xml:space="preserve"> +0,75 à +0,51</v>
      </c>
      <c r="AE26">
        <f>' typ oeil  formulle'!AE61</f>
        <v>0</v>
      </c>
      <c r="AF26">
        <f>' typ oeil  formulle'!AF61</f>
        <v>0</v>
      </c>
      <c r="AG26">
        <f>' typ oeil  formulle'!AG61</f>
        <v>0</v>
      </c>
      <c r="AH26">
        <f>' typ oeil  formulle'!AH61</f>
        <v>0</v>
      </c>
      <c r="AK26" t="str">
        <f>' typ oeil  formulle'!AK61</f>
        <v xml:space="preserve"> +0,75 à +0,51</v>
      </c>
      <c r="AL26">
        <f>' typ oeil  formulle'!AL61</f>
        <v>0</v>
      </c>
      <c r="AM26">
        <f>' typ oeil  formulle'!AM61</f>
        <v>0</v>
      </c>
      <c r="AN26">
        <f>' typ oeil  formulle'!AN61</f>
        <v>0</v>
      </c>
      <c r="AO26">
        <f>' typ oeil  formulle'!AO61</f>
        <v>0</v>
      </c>
      <c r="AR26" t="str">
        <f>' typ oeil  formulle'!AR61</f>
        <v xml:space="preserve"> +0,75 à +0,51</v>
      </c>
      <c r="AS26">
        <f>' typ oeil  formulle'!AS61</f>
        <v>0</v>
      </c>
      <c r="AT26">
        <f>' typ oeil  formulle'!AT61</f>
        <v>0</v>
      </c>
      <c r="AU26">
        <f>' typ oeil  formulle'!AU61</f>
        <v>0</v>
      </c>
      <c r="AV26">
        <f>' typ oeil  formulle'!AV61</f>
        <v>0</v>
      </c>
      <c r="AW26">
        <f>' typ oeil  formulle'!AW61</f>
        <v>0</v>
      </c>
      <c r="AX26">
        <f>' typ oeil  formulle'!AX61</f>
        <v>0</v>
      </c>
      <c r="AY26">
        <f>' typ oeil  formulle'!AY61</f>
        <v>0</v>
      </c>
    </row>
    <row r="27" spans="1:51" ht="19" x14ac:dyDescent="0.25">
      <c r="A27" s="2"/>
      <c r="B27" t="s">
        <v>153</v>
      </c>
      <c r="C27">
        <f>' typ oeil  formulle'!C62</f>
        <v>0</v>
      </c>
      <c r="D27">
        <f>' typ oeil  formulle'!D62</f>
        <v>0</v>
      </c>
      <c r="E27">
        <f>' typ oeil  formulle'!E62</f>
        <v>0</v>
      </c>
      <c r="F27">
        <f>' typ oeil  formulle'!F62</f>
        <v>0</v>
      </c>
      <c r="G27">
        <f>' typ oeil  formulle'!G62</f>
        <v>0</v>
      </c>
      <c r="H27">
        <f>' typ oeil  formulle'!H62</f>
        <v>0</v>
      </c>
      <c r="I27" t="str">
        <f>' typ oeil  formulle'!I62</f>
        <v xml:space="preserve"> +0,50 à +0,26</v>
      </c>
      <c r="J27">
        <f>' typ oeil  formulle'!J62</f>
        <v>0</v>
      </c>
      <c r="K27">
        <f>' typ oeil  formulle'!K62</f>
        <v>0</v>
      </c>
      <c r="L27">
        <f>' typ oeil  formulle'!L62</f>
        <v>0</v>
      </c>
      <c r="M27">
        <f>' typ oeil  formulle'!M62</f>
        <v>0</v>
      </c>
      <c r="N27">
        <f>' typ oeil  formulle'!N62</f>
        <v>0</v>
      </c>
      <c r="O27">
        <f>' typ oeil  formulle'!O62</f>
        <v>0</v>
      </c>
      <c r="P27" t="str">
        <f>' typ oeil  formulle'!P62</f>
        <v xml:space="preserve"> +0,50 à +0,26</v>
      </c>
      <c r="Q27">
        <f>' typ oeil  formulle'!Q62</f>
        <v>0</v>
      </c>
      <c r="R27">
        <f>' typ oeil  formulle'!R62</f>
        <v>0</v>
      </c>
      <c r="S27">
        <f>' typ oeil  formulle'!S62</f>
        <v>0</v>
      </c>
      <c r="T27">
        <f>' typ oeil  formulle'!T62</f>
        <v>0</v>
      </c>
      <c r="U27">
        <f>' typ oeil  formulle'!U62</f>
        <v>0</v>
      </c>
      <c r="V27">
        <f>' typ oeil  formulle'!V62</f>
        <v>0</v>
      </c>
      <c r="W27" t="str">
        <f>' typ oeil  formulle'!W62</f>
        <v xml:space="preserve"> +0,50 à +0,26</v>
      </c>
      <c r="X27">
        <f>' typ oeil  formulle'!X62</f>
        <v>0</v>
      </c>
      <c r="Y27">
        <f>' typ oeil  formulle'!Y62</f>
        <v>0</v>
      </c>
      <c r="Z27">
        <f>' typ oeil  formulle'!Z62</f>
        <v>0</v>
      </c>
      <c r="AA27">
        <f>' typ oeil  formulle'!AA62</f>
        <v>0</v>
      </c>
      <c r="AB27">
        <f>' typ oeil  formulle'!AB62</f>
        <v>0</v>
      </c>
      <c r="AD27" t="str">
        <f>' typ oeil  formulle'!AD62</f>
        <v xml:space="preserve"> +0,50 à +0,26</v>
      </c>
      <c r="AE27">
        <f>' typ oeil  formulle'!AE62</f>
        <v>0</v>
      </c>
      <c r="AF27">
        <f>' typ oeil  formulle'!AF62</f>
        <v>0</v>
      </c>
      <c r="AG27">
        <f>' typ oeil  formulle'!AG62</f>
        <v>0</v>
      </c>
      <c r="AH27">
        <f>' typ oeil  formulle'!AH62</f>
        <v>0</v>
      </c>
      <c r="AK27" t="str">
        <f>' typ oeil  formulle'!AK62</f>
        <v xml:space="preserve"> +0,50 à +0,26</v>
      </c>
      <c r="AL27">
        <f>' typ oeil  formulle'!AL62</f>
        <v>0</v>
      </c>
      <c r="AM27">
        <f>' typ oeil  formulle'!AM62</f>
        <v>0</v>
      </c>
      <c r="AN27">
        <f>' typ oeil  formulle'!AN62</f>
        <v>0</v>
      </c>
      <c r="AO27">
        <f>' typ oeil  formulle'!AO62</f>
        <v>0</v>
      </c>
      <c r="AR27" t="str">
        <f>' typ oeil  formulle'!AR62</f>
        <v xml:space="preserve"> +0,50 à +0,26</v>
      </c>
      <c r="AS27">
        <f>' typ oeil  formulle'!AS62</f>
        <v>0</v>
      </c>
      <c r="AT27">
        <f>' typ oeil  formulle'!AT62</f>
        <v>0</v>
      </c>
      <c r="AU27">
        <f>' typ oeil  formulle'!AU62</f>
        <v>0</v>
      </c>
      <c r="AV27">
        <f>' typ oeil  formulle'!AV62</f>
        <v>0</v>
      </c>
      <c r="AW27">
        <f>' typ oeil  formulle'!AW62</f>
        <v>0</v>
      </c>
      <c r="AX27">
        <f>' typ oeil  formulle'!AX62</f>
        <v>0</v>
      </c>
      <c r="AY27">
        <f>' typ oeil  formulle'!AY62</f>
        <v>0</v>
      </c>
    </row>
    <row r="28" spans="1:51" ht="19" x14ac:dyDescent="0.25">
      <c r="A28" s="2"/>
      <c r="B28" t="s">
        <v>154</v>
      </c>
      <c r="C28">
        <f>' typ oeil  formulle'!C63</f>
        <v>0</v>
      </c>
      <c r="D28">
        <f>' typ oeil  formulle'!D63</f>
        <v>0</v>
      </c>
      <c r="E28">
        <f>' typ oeil  formulle'!E63</f>
        <v>0</v>
      </c>
      <c r="F28">
        <f>' typ oeil  formulle'!F63</f>
        <v>0</v>
      </c>
      <c r="G28">
        <f>' typ oeil  formulle'!G63</f>
        <v>0</v>
      </c>
      <c r="H28">
        <f>' typ oeil  formulle'!H63</f>
        <v>0</v>
      </c>
      <c r="I28" t="str">
        <f>' typ oeil  formulle'!I63</f>
        <v xml:space="preserve"> +0,25 à -0,25</v>
      </c>
      <c r="J28">
        <f>' typ oeil  formulle'!J63</f>
        <v>0</v>
      </c>
      <c r="K28">
        <f>' typ oeil  formulle'!K63</f>
        <v>0</v>
      </c>
      <c r="L28">
        <f>' typ oeil  formulle'!L63</f>
        <v>0</v>
      </c>
      <c r="M28">
        <f>' typ oeil  formulle'!M63</f>
        <v>0</v>
      </c>
      <c r="N28">
        <f>' typ oeil  formulle'!N63</f>
        <v>0</v>
      </c>
      <c r="O28">
        <f>' typ oeil  formulle'!O63</f>
        <v>0</v>
      </c>
      <c r="P28" t="str">
        <f>' typ oeil  formulle'!P63</f>
        <v xml:space="preserve"> +0,25 à -0,25</v>
      </c>
      <c r="Q28">
        <f>' typ oeil  formulle'!Q63</f>
        <v>0</v>
      </c>
      <c r="R28">
        <f>' typ oeil  formulle'!R63</f>
        <v>0</v>
      </c>
      <c r="S28">
        <f>' typ oeil  formulle'!S63</f>
        <v>0</v>
      </c>
      <c r="T28">
        <f>' typ oeil  formulle'!T63</f>
        <v>0</v>
      </c>
      <c r="U28">
        <f>' typ oeil  formulle'!U63</f>
        <v>0</v>
      </c>
      <c r="V28">
        <f>' typ oeil  formulle'!V63</f>
        <v>0</v>
      </c>
      <c r="W28" t="str">
        <f>' typ oeil  formulle'!W63</f>
        <v xml:space="preserve"> +0,25 à -0,25</v>
      </c>
      <c r="X28">
        <f>' typ oeil  formulle'!X63</f>
        <v>0</v>
      </c>
      <c r="Y28">
        <f>' typ oeil  formulle'!Y63</f>
        <v>0</v>
      </c>
      <c r="Z28">
        <f>' typ oeil  formulle'!Z63</f>
        <v>0</v>
      </c>
      <c r="AA28">
        <f>' typ oeil  formulle'!AA63</f>
        <v>0</v>
      </c>
      <c r="AB28">
        <f>' typ oeil  formulle'!AB63</f>
        <v>0</v>
      </c>
      <c r="AD28" t="str">
        <f>' typ oeil  formulle'!AD63</f>
        <v xml:space="preserve"> +0,25 à -0,25</v>
      </c>
      <c r="AE28">
        <f>' typ oeil  formulle'!AE63</f>
        <v>0</v>
      </c>
      <c r="AF28">
        <f>' typ oeil  formulle'!AF63</f>
        <v>0</v>
      </c>
      <c r="AG28">
        <f>' typ oeil  formulle'!AG63</f>
        <v>0</v>
      </c>
      <c r="AH28">
        <f>' typ oeil  formulle'!AH63</f>
        <v>0</v>
      </c>
      <c r="AK28" t="str">
        <f>' typ oeil  formulle'!AK63</f>
        <v xml:space="preserve"> +0,25 à -0,25</v>
      </c>
      <c r="AL28">
        <f>' typ oeil  formulle'!AL63</f>
        <v>0</v>
      </c>
      <c r="AM28">
        <f>' typ oeil  formulle'!AM63</f>
        <v>0</v>
      </c>
      <c r="AN28">
        <f>' typ oeil  formulle'!AN63</f>
        <v>0</v>
      </c>
      <c r="AO28">
        <f>' typ oeil  formulle'!AO63</f>
        <v>0</v>
      </c>
      <c r="AR28" t="str">
        <f>' typ oeil  formulle'!AR63</f>
        <v xml:space="preserve"> +0,25 à -0,25</v>
      </c>
      <c r="AS28">
        <f>' typ oeil  formulle'!AS63</f>
        <v>0</v>
      </c>
      <c r="AT28">
        <f>' typ oeil  formulle'!AT63</f>
        <v>0</v>
      </c>
      <c r="AU28">
        <f>' typ oeil  formulle'!AU63</f>
        <v>0</v>
      </c>
      <c r="AV28">
        <f>' typ oeil  formulle'!AV63</f>
        <v>0</v>
      </c>
      <c r="AW28">
        <f>' typ oeil  formulle'!AW63</f>
        <v>0</v>
      </c>
      <c r="AX28">
        <f>' typ oeil  formulle'!AX63</f>
        <v>0</v>
      </c>
      <c r="AY28">
        <f>' typ oeil  formulle'!AY63</f>
        <v>0</v>
      </c>
    </row>
    <row r="29" spans="1:51" ht="19" x14ac:dyDescent="0.25">
      <c r="A29" s="2"/>
      <c r="B29" t="s">
        <v>155</v>
      </c>
      <c r="C29">
        <f>' typ oeil  formulle'!C64</f>
        <v>0</v>
      </c>
      <c r="D29">
        <f>' typ oeil  formulle'!D64</f>
        <v>0</v>
      </c>
      <c r="E29">
        <f>' typ oeil  formulle'!E64</f>
        <v>0</v>
      </c>
      <c r="F29">
        <f>' typ oeil  formulle'!F64</f>
        <v>0</v>
      </c>
      <c r="G29">
        <f>' typ oeil  formulle'!G64</f>
        <v>0</v>
      </c>
      <c r="H29">
        <f>' typ oeil  formulle'!H64</f>
        <v>0</v>
      </c>
      <c r="I29" t="str">
        <f>' typ oeil  formulle'!I64</f>
        <v xml:space="preserve"> -0,26 à -0,50</v>
      </c>
      <c r="J29">
        <f>' typ oeil  formulle'!J64</f>
        <v>0</v>
      </c>
      <c r="K29">
        <f>' typ oeil  formulle'!K64</f>
        <v>0</v>
      </c>
      <c r="L29">
        <f>' typ oeil  formulle'!L64</f>
        <v>0</v>
      </c>
      <c r="M29">
        <f>' typ oeil  formulle'!M64</f>
        <v>0</v>
      </c>
      <c r="N29">
        <f>' typ oeil  formulle'!N64</f>
        <v>0</v>
      </c>
      <c r="O29">
        <f>' typ oeil  formulle'!O64</f>
        <v>0</v>
      </c>
      <c r="P29" t="str">
        <f>' typ oeil  formulle'!P64</f>
        <v xml:space="preserve"> -0,26 à -0,50</v>
      </c>
      <c r="Q29">
        <f>' typ oeil  formulle'!Q64</f>
        <v>0</v>
      </c>
      <c r="R29">
        <f>' typ oeil  formulle'!R64</f>
        <v>0</v>
      </c>
      <c r="S29">
        <f>' typ oeil  formulle'!S64</f>
        <v>0</v>
      </c>
      <c r="T29">
        <f>' typ oeil  formulle'!T64</f>
        <v>0</v>
      </c>
      <c r="U29">
        <f>' typ oeil  formulle'!U64</f>
        <v>0</v>
      </c>
      <c r="V29">
        <f>' typ oeil  formulle'!V64</f>
        <v>0</v>
      </c>
      <c r="W29" t="str">
        <f>' typ oeil  formulle'!W64</f>
        <v xml:space="preserve"> -0,26 à -0,50</v>
      </c>
      <c r="X29">
        <f>' typ oeil  formulle'!X64</f>
        <v>0</v>
      </c>
      <c r="Y29">
        <f>' typ oeil  formulle'!Y64</f>
        <v>0</v>
      </c>
      <c r="Z29">
        <f>' typ oeil  formulle'!Z64</f>
        <v>0</v>
      </c>
      <c r="AA29">
        <f>' typ oeil  formulle'!AA64</f>
        <v>0</v>
      </c>
      <c r="AB29">
        <f>' typ oeil  formulle'!AB64</f>
        <v>0</v>
      </c>
      <c r="AD29" t="str">
        <f>' typ oeil  formulle'!AD64</f>
        <v xml:space="preserve"> -0,26 à -0,50</v>
      </c>
      <c r="AE29">
        <f>' typ oeil  formulle'!AE64</f>
        <v>0</v>
      </c>
      <c r="AF29">
        <f>' typ oeil  formulle'!AF64</f>
        <v>0</v>
      </c>
      <c r="AG29">
        <f>' typ oeil  formulle'!AG64</f>
        <v>0</v>
      </c>
      <c r="AH29">
        <f>' typ oeil  formulle'!AH64</f>
        <v>0</v>
      </c>
      <c r="AK29" t="str">
        <f>' typ oeil  formulle'!AK64</f>
        <v xml:space="preserve"> -0,26 à -0,50</v>
      </c>
      <c r="AL29">
        <f>' typ oeil  formulle'!AL64</f>
        <v>0</v>
      </c>
      <c r="AM29">
        <f>' typ oeil  formulle'!AM64</f>
        <v>0</v>
      </c>
      <c r="AN29">
        <f>' typ oeil  formulle'!AN64</f>
        <v>0</v>
      </c>
      <c r="AO29">
        <f>' typ oeil  formulle'!AO64</f>
        <v>0</v>
      </c>
      <c r="AR29" t="str">
        <f>' typ oeil  formulle'!AR64</f>
        <v xml:space="preserve"> -0,26 à -0,50</v>
      </c>
      <c r="AS29">
        <f>' typ oeil  formulle'!AS64</f>
        <v>0</v>
      </c>
      <c r="AT29">
        <f>' typ oeil  formulle'!AT64</f>
        <v>0</v>
      </c>
      <c r="AU29">
        <f>' typ oeil  formulle'!AU64</f>
        <v>0</v>
      </c>
      <c r="AV29">
        <f>' typ oeil  formulle'!AV64</f>
        <v>0</v>
      </c>
      <c r="AW29">
        <f>' typ oeil  formulle'!AW64</f>
        <v>0</v>
      </c>
      <c r="AX29">
        <f>' typ oeil  formulle'!AX64</f>
        <v>0</v>
      </c>
      <c r="AY29">
        <f>' typ oeil  formulle'!AY64</f>
        <v>0</v>
      </c>
    </row>
    <row r="30" spans="1:51" ht="19" x14ac:dyDescent="0.25">
      <c r="A30" s="2"/>
      <c r="B30" t="s">
        <v>156</v>
      </c>
      <c r="C30">
        <f>' typ oeil  formulle'!C65</f>
        <v>0</v>
      </c>
      <c r="D30">
        <f>' typ oeil  formulle'!D65</f>
        <v>0</v>
      </c>
      <c r="E30">
        <f>' typ oeil  formulle'!E65</f>
        <v>0</v>
      </c>
      <c r="F30">
        <f>' typ oeil  formulle'!F65</f>
        <v>0</v>
      </c>
      <c r="G30">
        <f>' typ oeil  formulle'!G65</f>
        <v>0</v>
      </c>
      <c r="H30">
        <f>' typ oeil  formulle'!H65</f>
        <v>0</v>
      </c>
      <c r="I30" t="str">
        <f>' typ oeil  formulle'!I65</f>
        <v xml:space="preserve"> -0,51 à -0,75</v>
      </c>
      <c r="J30">
        <f>' typ oeil  formulle'!J65</f>
        <v>0</v>
      </c>
      <c r="K30">
        <f>' typ oeil  formulle'!K65</f>
        <v>0</v>
      </c>
      <c r="L30">
        <f>' typ oeil  formulle'!L65</f>
        <v>0</v>
      </c>
      <c r="M30">
        <f>' typ oeil  formulle'!M65</f>
        <v>0</v>
      </c>
      <c r="N30">
        <f>' typ oeil  formulle'!N65</f>
        <v>0</v>
      </c>
      <c r="O30">
        <f>' typ oeil  formulle'!O65</f>
        <v>0</v>
      </c>
      <c r="P30" t="str">
        <f>' typ oeil  formulle'!P65</f>
        <v xml:space="preserve"> -0,51 à -0,75</v>
      </c>
      <c r="Q30">
        <f>' typ oeil  formulle'!Q65</f>
        <v>0</v>
      </c>
      <c r="R30">
        <f>' typ oeil  formulle'!R65</f>
        <v>0</v>
      </c>
      <c r="S30">
        <f>' typ oeil  formulle'!S65</f>
        <v>0</v>
      </c>
      <c r="T30">
        <f>' typ oeil  formulle'!T65</f>
        <v>0</v>
      </c>
      <c r="U30">
        <f>' typ oeil  formulle'!U65</f>
        <v>0</v>
      </c>
      <c r="V30">
        <f>' typ oeil  formulle'!V65</f>
        <v>0</v>
      </c>
      <c r="W30" t="str">
        <f>' typ oeil  formulle'!W65</f>
        <v xml:space="preserve"> -0,51 à -0,75</v>
      </c>
      <c r="X30">
        <f>' typ oeil  formulle'!X65</f>
        <v>0</v>
      </c>
      <c r="Y30">
        <f>' typ oeil  formulle'!Y65</f>
        <v>0</v>
      </c>
      <c r="Z30">
        <f>' typ oeil  formulle'!Z65</f>
        <v>0</v>
      </c>
      <c r="AA30">
        <f>' typ oeil  formulle'!AA65</f>
        <v>0</v>
      </c>
      <c r="AB30">
        <f>' typ oeil  formulle'!AB65</f>
        <v>0</v>
      </c>
      <c r="AD30" t="str">
        <f>' typ oeil  formulle'!AD65</f>
        <v xml:space="preserve"> -0,51 à -0,75</v>
      </c>
      <c r="AE30">
        <f>' typ oeil  formulle'!AE65</f>
        <v>0</v>
      </c>
      <c r="AF30">
        <f>' typ oeil  formulle'!AF65</f>
        <v>0</v>
      </c>
      <c r="AG30">
        <f>' typ oeil  formulle'!AG65</f>
        <v>0</v>
      </c>
      <c r="AH30">
        <f>' typ oeil  formulle'!AH65</f>
        <v>0</v>
      </c>
      <c r="AK30" t="str">
        <f>' typ oeil  formulle'!AK65</f>
        <v xml:space="preserve"> -0,51 à -0,75</v>
      </c>
      <c r="AL30">
        <f>' typ oeil  formulle'!AL65</f>
        <v>0</v>
      </c>
      <c r="AM30">
        <f>' typ oeil  formulle'!AM65</f>
        <v>0</v>
      </c>
      <c r="AN30">
        <f>' typ oeil  formulle'!AN65</f>
        <v>0</v>
      </c>
      <c r="AO30">
        <f>' typ oeil  formulle'!AO65</f>
        <v>0</v>
      </c>
      <c r="AR30" t="str">
        <f>' typ oeil  formulle'!AR65</f>
        <v xml:space="preserve"> -0,51 à -0,75</v>
      </c>
      <c r="AS30">
        <f>' typ oeil  formulle'!AS65</f>
        <v>0</v>
      </c>
      <c r="AT30">
        <f>' typ oeil  formulle'!AT65</f>
        <v>0</v>
      </c>
      <c r="AU30">
        <f>' typ oeil  formulle'!AU65</f>
        <v>0</v>
      </c>
      <c r="AV30">
        <f>' typ oeil  formulle'!AV65</f>
        <v>0</v>
      </c>
      <c r="AW30">
        <f>' typ oeil  formulle'!AW65</f>
        <v>0</v>
      </c>
      <c r="AX30">
        <f>' typ oeil  formulle'!AX65</f>
        <v>0</v>
      </c>
      <c r="AY30">
        <f>' typ oeil  formulle'!AY65</f>
        <v>0</v>
      </c>
    </row>
    <row r="31" spans="1:51" ht="19" x14ac:dyDescent="0.25">
      <c r="A31" s="2"/>
      <c r="B31" t="s">
        <v>157</v>
      </c>
      <c r="C31">
        <f>' typ oeil  formulle'!C66</f>
        <v>0</v>
      </c>
      <c r="D31">
        <f>' typ oeil  formulle'!D66</f>
        <v>0</v>
      </c>
      <c r="E31">
        <f>' typ oeil  formulle'!E66</f>
        <v>0</v>
      </c>
      <c r="F31">
        <f>' typ oeil  formulle'!F66</f>
        <v>0</v>
      </c>
      <c r="G31">
        <f>' typ oeil  formulle'!G66</f>
        <v>0</v>
      </c>
      <c r="H31">
        <f>' typ oeil  formulle'!H66</f>
        <v>0</v>
      </c>
      <c r="I31" t="str">
        <f>' typ oeil  formulle'!I66</f>
        <v xml:space="preserve"> -0,76 -1,0</v>
      </c>
      <c r="J31">
        <f>' typ oeil  formulle'!J66</f>
        <v>0</v>
      </c>
      <c r="K31">
        <f>' typ oeil  formulle'!K66</f>
        <v>0</v>
      </c>
      <c r="L31">
        <f>' typ oeil  formulle'!L66</f>
        <v>0</v>
      </c>
      <c r="M31">
        <f>' typ oeil  formulle'!M66</f>
        <v>0</v>
      </c>
      <c r="N31">
        <f>' typ oeil  formulle'!N66</f>
        <v>0</v>
      </c>
      <c r="O31">
        <f>' typ oeil  formulle'!O66</f>
        <v>0</v>
      </c>
      <c r="P31" t="str">
        <f>' typ oeil  formulle'!P66</f>
        <v xml:space="preserve"> -0,76 -1,0</v>
      </c>
      <c r="Q31">
        <f>' typ oeil  formulle'!Q66</f>
        <v>0</v>
      </c>
      <c r="R31">
        <f>' typ oeil  formulle'!R66</f>
        <v>0</v>
      </c>
      <c r="S31">
        <f>' typ oeil  formulle'!S66</f>
        <v>0</v>
      </c>
      <c r="T31">
        <f>' typ oeil  formulle'!T66</f>
        <v>0</v>
      </c>
      <c r="U31">
        <f>' typ oeil  formulle'!U66</f>
        <v>0</v>
      </c>
      <c r="V31">
        <f>' typ oeil  formulle'!V66</f>
        <v>0</v>
      </c>
      <c r="W31" t="str">
        <f>' typ oeil  formulle'!W66</f>
        <v xml:space="preserve"> -0,76 -1,0</v>
      </c>
      <c r="X31">
        <f>' typ oeil  formulle'!X66</f>
        <v>0</v>
      </c>
      <c r="Y31">
        <f>' typ oeil  formulle'!Y66</f>
        <v>0</v>
      </c>
      <c r="Z31">
        <f>' typ oeil  formulle'!Z66</f>
        <v>0</v>
      </c>
      <c r="AA31">
        <f>' typ oeil  formulle'!AA66</f>
        <v>0</v>
      </c>
      <c r="AB31">
        <f>' typ oeil  formulle'!AB66</f>
        <v>0</v>
      </c>
      <c r="AD31" t="str">
        <f>' typ oeil  formulle'!AD66</f>
        <v xml:space="preserve"> -0,76 -1,0</v>
      </c>
      <c r="AE31">
        <f>' typ oeil  formulle'!AE66</f>
        <v>0</v>
      </c>
      <c r="AF31">
        <f>' typ oeil  formulle'!AF66</f>
        <v>0</v>
      </c>
      <c r="AG31">
        <f>' typ oeil  formulle'!AG66</f>
        <v>0</v>
      </c>
      <c r="AH31">
        <f>' typ oeil  formulle'!AH66</f>
        <v>0</v>
      </c>
      <c r="AK31" t="str">
        <f>' typ oeil  formulle'!AK66</f>
        <v xml:space="preserve"> -0,76 -1,0</v>
      </c>
      <c r="AL31">
        <f>' typ oeil  formulle'!AL66</f>
        <v>0</v>
      </c>
      <c r="AM31">
        <f>' typ oeil  formulle'!AM66</f>
        <v>0</v>
      </c>
      <c r="AN31">
        <f>' typ oeil  formulle'!AN66</f>
        <v>0</v>
      </c>
      <c r="AO31">
        <f>' typ oeil  formulle'!AO66</f>
        <v>0</v>
      </c>
      <c r="AR31" t="str">
        <f>' typ oeil  formulle'!AR66</f>
        <v xml:space="preserve"> -0,76 -1,0</v>
      </c>
      <c r="AS31">
        <f>' typ oeil  formulle'!AS66</f>
        <v>0</v>
      </c>
      <c r="AT31">
        <f>' typ oeil  formulle'!AT66</f>
        <v>0</v>
      </c>
      <c r="AU31">
        <f>' typ oeil  formulle'!AU66</f>
        <v>0</v>
      </c>
      <c r="AV31">
        <f>' typ oeil  formulle'!AV66</f>
        <v>0</v>
      </c>
      <c r="AW31">
        <f>' typ oeil  formulle'!AW66</f>
        <v>0</v>
      </c>
      <c r="AX31">
        <f>' typ oeil  formulle'!AX66</f>
        <v>0</v>
      </c>
      <c r="AY31">
        <f>' typ oeil  formulle'!AY66</f>
        <v>0</v>
      </c>
    </row>
    <row r="32" spans="1:51" ht="19" x14ac:dyDescent="0.25">
      <c r="A32" s="2"/>
      <c r="B32" t="s">
        <v>158</v>
      </c>
      <c r="C32">
        <f>' typ oeil  formulle'!C67</f>
        <v>0</v>
      </c>
      <c r="D32">
        <f>' typ oeil  formulle'!D67</f>
        <v>0</v>
      </c>
      <c r="E32">
        <f>' typ oeil  formulle'!E67</f>
        <v>0</v>
      </c>
      <c r="F32">
        <f>' typ oeil  formulle'!F67</f>
        <v>0</v>
      </c>
      <c r="G32">
        <f>' typ oeil  formulle'!G67</f>
        <v>0</v>
      </c>
      <c r="H32">
        <f>' typ oeil  formulle'!H67</f>
        <v>0</v>
      </c>
      <c r="I32" t="str">
        <f>' typ oeil  formulle'!I67</f>
        <v>&gt; -1,0</v>
      </c>
      <c r="J32">
        <f>' typ oeil  formulle'!J67</f>
        <v>0</v>
      </c>
      <c r="K32">
        <f>' typ oeil  formulle'!K67</f>
        <v>0</v>
      </c>
      <c r="L32">
        <f>' typ oeil  formulle'!L67</f>
        <v>0</v>
      </c>
      <c r="M32">
        <f>' typ oeil  formulle'!M67</f>
        <v>0</v>
      </c>
      <c r="N32">
        <f>' typ oeil  formulle'!N67</f>
        <v>0</v>
      </c>
      <c r="O32">
        <f>' typ oeil  formulle'!O67</f>
        <v>0</v>
      </c>
      <c r="P32" t="str">
        <f>' typ oeil  formulle'!P67</f>
        <v>&gt; -1,0</v>
      </c>
      <c r="Q32">
        <f>' typ oeil  formulle'!Q67</f>
        <v>0</v>
      </c>
      <c r="R32">
        <f>' typ oeil  formulle'!R67</f>
        <v>0</v>
      </c>
      <c r="S32">
        <f>' typ oeil  formulle'!S67</f>
        <v>0</v>
      </c>
      <c r="T32">
        <f>' typ oeil  formulle'!T67</f>
        <v>0</v>
      </c>
      <c r="U32">
        <f>' typ oeil  formulle'!U67</f>
        <v>0</v>
      </c>
      <c r="V32">
        <f>' typ oeil  formulle'!V67</f>
        <v>0</v>
      </c>
      <c r="W32" t="str">
        <f>' typ oeil  formulle'!W67</f>
        <v>&gt; -1,0</v>
      </c>
      <c r="X32">
        <f>' typ oeil  formulle'!X67</f>
        <v>0</v>
      </c>
      <c r="Y32">
        <f>' typ oeil  formulle'!Y67</f>
        <v>0</v>
      </c>
      <c r="Z32">
        <f>' typ oeil  formulle'!Z67</f>
        <v>0</v>
      </c>
      <c r="AA32">
        <f>' typ oeil  formulle'!AA67</f>
        <v>0</v>
      </c>
      <c r="AB32">
        <f>' typ oeil  formulle'!AB67</f>
        <v>0</v>
      </c>
      <c r="AD32" t="str">
        <f>' typ oeil  formulle'!AD67</f>
        <v>&gt; -1,0</v>
      </c>
      <c r="AE32">
        <f>' typ oeil  formulle'!AE67</f>
        <v>0</v>
      </c>
      <c r="AF32">
        <f>' typ oeil  formulle'!AF67</f>
        <v>0</v>
      </c>
      <c r="AG32">
        <f>' typ oeil  formulle'!AG67</f>
        <v>0</v>
      </c>
      <c r="AH32">
        <f>' typ oeil  formulle'!AH67</f>
        <v>0</v>
      </c>
      <c r="AK32" t="str">
        <f>' typ oeil  formulle'!AK67</f>
        <v>&gt; -1,0</v>
      </c>
      <c r="AL32">
        <f>' typ oeil  formulle'!AL67</f>
        <v>0</v>
      </c>
      <c r="AM32">
        <f>' typ oeil  formulle'!AM67</f>
        <v>0</v>
      </c>
      <c r="AN32">
        <f>' typ oeil  formulle'!AN67</f>
        <v>0</v>
      </c>
      <c r="AO32">
        <f>' typ oeil  formulle'!AO67</f>
        <v>0</v>
      </c>
      <c r="AR32" t="str">
        <f>' typ oeil  formulle'!AR67</f>
        <v>&gt; -1,0</v>
      </c>
      <c r="AS32">
        <f>' typ oeil  formulle'!AS67</f>
        <v>0</v>
      </c>
      <c r="AT32">
        <f>' typ oeil  formulle'!AT67</f>
        <v>0</v>
      </c>
      <c r="AU32">
        <f>' typ oeil  formulle'!AU67</f>
        <v>0</v>
      </c>
      <c r="AV32">
        <f>' typ oeil  formulle'!AV67</f>
        <v>0</v>
      </c>
      <c r="AW32">
        <f>' typ oeil  formulle'!AW67</f>
        <v>0</v>
      </c>
      <c r="AX32">
        <f>' typ oeil  formulle'!AX67</f>
        <v>0</v>
      </c>
      <c r="AY32">
        <f>' typ oeil  formulle'!AY67</f>
        <v>0</v>
      </c>
    </row>
    <row r="72" spans="3:51" ht="16" thickBot="1" x14ac:dyDescent="0.25"/>
    <row r="73" spans="3:51" ht="49" thickBot="1" x14ac:dyDescent="0.25">
      <c r="C73" s="164" t="s">
        <v>40</v>
      </c>
      <c r="D73" s="165" t="s">
        <v>46</v>
      </c>
      <c r="E73" s="165" t="s">
        <v>47</v>
      </c>
      <c r="F73" s="165" t="s">
        <v>48</v>
      </c>
      <c r="G73" s="165" t="s">
        <v>49</v>
      </c>
      <c r="H73" s="165" t="s">
        <v>50</v>
      </c>
      <c r="J73" s="205" t="s">
        <v>116</v>
      </c>
      <c r="K73" s="205" t="s">
        <v>120</v>
      </c>
      <c r="L73" s="205" t="s">
        <v>121</v>
      </c>
      <c r="M73" s="205" t="s">
        <v>117</v>
      </c>
      <c r="N73" s="205" t="s">
        <v>118</v>
      </c>
      <c r="O73" s="205" t="s">
        <v>119</v>
      </c>
      <c r="Q73" s="206" t="s">
        <v>105</v>
      </c>
      <c r="R73" s="206" t="s">
        <v>112</v>
      </c>
      <c r="S73" s="206" t="s">
        <v>123</v>
      </c>
      <c r="T73" s="206" t="s">
        <v>114</v>
      </c>
      <c r="U73" s="206" t="s">
        <v>115</v>
      </c>
      <c r="V73" s="206" t="s">
        <v>106</v>
      </c>
      <c r="X73" s="210" t="s">
        <v>107</v>
      </c>
      <c r="Y73" s="207" t="s">
        <v>108</v>
      </c>
      <c r="Z73" s="207" t="s">
        <v>109</v>
      </c>
      <c r="AA73" s="207" t="s">
        <v>110</v>
      </c>
      <c r="AB73" s="209" t="s">
        <v>122</v>
      </c>
      <c r="AC73" s="211"/>
      <c r="AE73" s="212" t="s">
        <v>124</v>
      </c>
      <c r="AF73" s="208" t="s">
        <v>125</v>
      </c>
      <c r="AG73" s="208" t="s">
        <v>126</v>
      </c>
      <c r="AH73" s="213" t="s">
        <v>127</v>
      </c>
      <c r="AI73" s="211"/>
      <c r="AJ73" s="211"/>
      <c r="AL73" s="89" t="s">
        <v>128</v>
      </c>
      <c r="AM73" s="89" t="s">
        <v>129</v>
      </c>
      <c r="AN73" s="89" t="s">
        <v>131</v>
      </c>
      <c r="AO73" s="89" t="s">
        <v>130</v>
      </c>
      <c r="AP73" s="211"/>
      <c r="AQ73" s="211"/>
      <c r="AS73" s="207" t="s">
        <v>52</v>
      </c>
      <c r="AT73" s="207" t="s">
        <v>57</v>
      </c>
      <c r="AU73" s="207" t="s">
        <v>51</v>
      </c>
      <c r="AV73" s="207" t="s">
        <v>53</v>
      </c>
      <c r="AW73" s="207" t="s">
        <v>54</v>
      </c>
      <c r="AX73" s="207" t="s">
        <v>55</v>
      </c>
      <c r="AY73" s="209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2"/>
  <sheetViews>
    <sheetView workbookViewId="0">
      <selection activeCell="I13" sqref="I13"/>
    </sheetView>
  </sheetViews>
  <sheetFormatPr baseColWidth="10" defaultRowHeight="15" x14ac:dyDescent="0.2"/>
  <cols>
    <col min="1" max="1" width="14.83203125" bestFit="1" customWidth="1"/>
  </cols>
  <sheetData>
    <row r="1" spans="1:15" ht="16" thickBot="1" x14ac:dyDescent="0.25">
      <c r="B1" s="228" t="s">
        <v>38</v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30"/>
    </row>
    <row r="2" spans="1:15" ht="17" thickBot="1" x14ac:dyDescent="0.25">
      <c r="B2" s="215" t="s">
        <v>30</v>
      </c>
      <c r="C2" s="215" t="s">
        <v>58</v>
      </c>
      <c r="D2" s="215" t="s">
        <v>74</v>
      </c>
      <c r="E2" s="215" t="s">
        <v>59</v>
      </c>
      <c r="F2" s="215" t="s">
        <v>45</v>
      </c>
      <c r="G2" s="215" t="s">
        <v>35</v>
      </c>
      <c r="H2" s="215" t="s">
        <v>44</v>
      </c>
      <c r="I2" s="215" t="s">
        <v>36</v>
      </c>
      <c r="J2" s="215" t="s">
        <v>42</v>
      </c>
      <c r="K2" s="215" t="s">
        <v>41</v>
      </c>
      <c r="L2" s="215" t="s">
        <v>31</v>
      </c>
      <c r="M2" s="215" t="s">
        <v>37</v>
      </c>
      <c r="N2" s="215" t="s">
        <v>159</v>
      </c>
      <c r="O2" s="215"/>
    </row>
    <row r="3" spans="1:15" ht="19" x14ac:dyDescent="0.25">
      <c r="A3" s="2" t="s">
        <v>72</v>
      </c>
    </row>
    <row r="4" spans="1:15" x14ac:dyDescent="0.2">
      <c r="A4" t="s">
        <v>60</v>
      </c>
      <c r="B4">
        <f>COUNTIFS(donnée!$AK:$AK,"&gt;=1,0",donnée!$DA:$DA,"RAS")</f>
        <v>0</v>
      </c>
      <c r="C4">
        <f>COUNTIFS(donnée!$AK:$AK,"&gt;=1,0",donnée!$DA:$DA,"AMBLYOPE")</f>
        <v>0</v>
      </c>
      <c r="D4">
        <f>COUNTIFS(donnée!$AK:$AK,"&gt;=1,0",donnée!$DA:$DA,"CHIR REF")</f>
        <v>0</v>
      </c>
      <c r="E4">
        <f>COUNTIFS(donnée!$AK:$AK,"&gt;=1,0",donnée!$DA:$DA,"DGM")</f>
        <v>0</v>
      </c>
      <c r="F4">
        <f>COUNTIFS(donnée!$AK:$AK,"&gt;=1,0",donnée!$DA:$DA,"GLAUCOME")</f>
        <v>0</v>
      </c>
      <c r="G4">
        <f>COUNTIFS(donnée!$AK:$AK,"&gt;=1,0",donnée!$DA:$DA,"GUTTATA")</f>
        <v>0</v>
      </c>
      <c r="H4">
        <f>COUNTIFS(donnée!$AK:$AK,"&gt;=1,0",donnée!$DA:$DA,"KCN")</f>
        <v>0</v>
      </c>
      <c r="I4">
        <f>COUNTIFS(donnée!$AK:$AK,"&gt;=1,0",donnée!$DA:$DA,"MYOPE F")</f>
        <v>0</v>
      </c>
    </row>
    <row r="5" spans="1:15" x14ac:dyDescent="0.2">
      <c r="A5" t="s">
        <v>61</v>
      </c>
      <c r="B5">
        <f>COUNTIFS(donnée!$AK:$AK,"&gt;=0,76",donnée!$AK:$AK,"&lt;=1,0",donnée!$DA:$DA,"RAS")</f>
        <v>0</v>
      </c>
      <c r="C5">
        <f>COUNTIFS(donnée!$AK:$AK,"&gt;=0,76",donnée!$AK:$AK,"&lt;=1,0",donnée!$DA:$DA,"AMBLYOPE")</f>
        <v>0</v>
      </c>
      <c r="D5">
        <f>COUNTIFS(donnée!$AK:$AK,"&gt;=0,76",donnée!$AK:$AK,"&lt;=1,0",donnée!$DA:$DA,"CHIR REF")</f>
        <v>0</v>
      </c>
      <c r="E5">
        <f>COUNTIFS(donnée!$AK:$AK,"&gt;=0,76",donnée!$AK:$AK,"&lt;=1,0",donnée!$DA:$DA,"DGM")</f>
        <v>0</v>
      </c>
      <c r="F5">
        <f>COUNTIFS(donnée!$AK:$AK,"&gt;=0,76",donnée!$AK:$AK,"&lt;=1,0",donnée!$DA:$DA,"GLAUCOME")</f>
        <v>0</v>
      </c>
      <c r="G5">
        <f>COUNTIFS(donnée!$AK:$AK,"&gt;=0,76",donnée!$AK:$AK,"&lt;=1,0",donnée!$DA:$DA,"GUTTATA")</f>
        <v>0</v>
      </c>
      <c r="H5">
        <f>COUNTIFS(donnée!$AK:$AK,"&gt;=0,76",donnée!$AK:$AK,"&lt;=1,0",donnée!$DA:$DA,"KCN")</f>
        <v>0</v>
      </c>
      <c r="I5">
        <f>COUNTIFS(donnée!$AK:$AK,"&gt;=0,76",donnée!$AK:$AK,"&lt;=1,0",donnée!$DA:$DA,"MYOPE F")</f>
        <v>0</v>
      </c>
    </row>
    <row r="6" spans="1:15" x14ac:dyDescent="0.2">
      <c r="A6" t="s">
        <v>62</v>
      </c>
      <c r="B6">
        <f>COUNTIFS(donnée!$AK:$AK,"&gt;=+0,51",donnée!$AK:$AK,"&lt;=+0,75",donnée!$DA:$DA,"RAS")</f>
        <v>0</v>
      </c>
      <c r="C6">
        <f>COUNTIFS(donnée!$AK:$AK,"&gt;=+0,51",donnée!$AK:$AK,"&lt;=+0,75",donnée!$DA:$DA,"AMBLYOPE")</f>
        <v>0</v>
      </c>
      <c r="D6">
        <f>COUNTIFS(donnée!$AK:$AK,"&gt;=+0,51",donnée!$AK:$AK,"&lt;=+0,75",donnée!$DA:$DA,"CHIR REF")</f>
        <v>0</v>
      </c>
      <c r="E6">
        <f>COUNTIFS(donnée!$AK:$AK,"&gt;=+0,51",donnée!$AK:$AK,"&lt;=+0,75",donnée!$DA:$DA,"DGM")</f>
        <v>0</v>
      </c>
      <c r="F6">
        <f>COUNTIFS(donnée!$AK:$AK,"&gt;=+0,51",donnée!$AK:$AK,"&lt;=+0,75",donnée!$DA:$DA,"GLAUCOME")</f>
        <v>0</v>
      </c>
      <c r="G6">
        <f>COUNTIFS(donnée!$AK:$AK,"&gt;=+0,51",donnée!$AK:$AK,"&lt;=+0,75",donnée!$DA:$DA,"GUTTATA")</f>
        <v>0</v>
      </c>
      <c r="H6">
        <f>COUNTIFS(donnée!$AK:$AK,"&gt;=+0,51",donnée!$AK:$AK,"&lt;=+0,75",donnée!$DA:$DA,"KCN")</f>
        <v>0</v>
      </c>
      <c r="I6">
        <f>COUNTIFS(donnée!$AK:$AK,"&gt;=+0,51",donnée!$AK:$AK,"&lt;=+0,75",donnée!$DA:$DA,"MYOPE F")</f>
        <v>0</v>
      </c>
    </row>
    <row r="7" spans="1:15" x14ac:dyDescent="0.2">
      <c r="A7" t="s">
        <v>63</v>
      </c>
      <c r="B7">
        <f>COUNTIFS(donnée!$AK:$AK,"&gt;=+0,26",donnée!$AK:$AK,"&lt;=+0,50",donnée!$DA:$DA,"RAS")</f>
        <v>0</v>
      </c>
      <c r="C7">
        <f>COUNTIFS(donnée!$AK:$AK,"&gt;=+0,26",donnée!$AK:$AK,"&lt;=+0,50",donnée!$DA:$DA,"AMBLYOPE")</f>
        <v>0</v>
      </c>
      <c r="D7">
        <f>COUNTIFS(donnée!$AK:$AK,"&gt;=+0,26",donnée!$AK:$AK,"&lt;=+0,50",donnée!$DA:$DA,"CHIR REF")</f>
        <v>0</v>
      </c>
      <c r="E7">
        <f>COUNTIFS(donnée!$AK:$AK,"&gt;=+0,26",donnée!$AK:$AK,"&lt;=+0,50",donnée!$DA:$DA,"DGM")</f>
        <v>0</v>
      </c>
      <c r="F7">
        <f>COUNTIFS(donnée!$AK:$AK,"&gt;=+0,26",donnée!$AK:$AK,"&lt;=+0,50",donnée!$DA:$DA,"GLAUCOME")</f>
        <v>0</v>
      </c>
      <c r="G7">
        <f>COUNTIFS(donnée!$AK:$AK,"&gt;=+0,26",donnée!$AK:$AK,"&lt;=+0,50",donnée!$DA:$DA,"GUTTATA")</f>
        <v>0</v>
      </c>
      <c r="H7">
        <f>COUNTIFS(donnée!$AK:$AK,"&gt;=+0,26",donnée!$AK:$AK,"&lt;=+0,50",donnée!$DA:$DA,"KCN")</f>
        <v>0</v>
      </c>
      <c r="I7">
        <f>COUNTIFS(donnée!$AK:$AK,"&gt;=+0,26",donnée!$AK:$AK,"&lt;=+0,50",donnée!$DA:$DA,"MYOPE F")</f>
        <v>0</v>
      </c>
    </row>
    <row r="8" spans="1:15" x14ac:dyDescent="0.2">
      <c r="A8" t="s">
        <v>64</v>
      </c>
      <c r="B8">
        <f>COUNTIFS(donnée!$AK:$AK,"&gt;=-0,25",donnée!$AK:$AK,"&lt;=+0,25",donnée!$DA:$DA,"RAS")</f>
        <v>0</v>
      </c>
      <c r="C8">
        <f>COUNTIFS(donnée!$AK:$AK,"&gt;=-0,25",donnée!$AK:$AK,"&lt;=+0,25",donnée!$DA:$DA,"AMBLYOPE")</f>
        <v>0</v>
      </c>
      <c r="D8">
        <f>COUNTIFS(donnée!$AK:$AK,"&gt;=-0,25",donnée!$AK:$AK,"&lt;=+0,25",donnée!$DA:$DA,"CHIR REF")</f>
        <v>0</v>
      </c>
      <c r="E8">
        <f>COUNTIFS(donnée!$AK:$AK,"&gt;=-0,25",donnée!$AK:$AK,"&lt;=+0,25",donnée!$DA:$DA,"DGM")</f>
        <v>0</v>
      </c>
      <c r="F8">
        <f>COUNTIFS(donnée!$AK:$AK,"&gt;=-0,25",donnée!$AK:$AK,"&lt;=+0,25",donnée!$DA:$DA,"GLAUCOME")</f>
        <v>0</v>
      </c>
      <c r="G8">
        <f>COUNTIFS(donnée!$AK:$AK,"&gt;=-0,25",donnée!$AK:$AK,"&lt;=+0,25",donnée!$DA:$DA,"GUTTATA")</f>
        <v>0</v>
      </c>
      <c r="H8">
        <f>COUNTIFS(donnée!$AK:$AK,"&gt;=-0,25",donnée!$AK:$AK,"&lt;=+0,25",donnée!$DA:$DA,"KCN")</f>
        <v>0</v>
      </c>
      <c r="I8">
        <f>COUNTIFS(donnée!$AK:$AK,"&gt;=-0,25",donnée!$AK:$AK,"&lt;=+0,25",donnée!$DA:$DA,"MYOPE F")</f>
        <v>0</v>
      </c>
    </row>
    <row r="9" spans="1:15" x14ac:dyDescent="0.2">
      <c r="A9" t="s">
        <v>65</v>
      </c>
      <c r="B9">
        <f>COUNTIFS(donnée!$AK:$AK,"&gt;=-0,50",donnée!$AK:$AK,"&lt;=-0,26",donnée!$DA:$DA,"RAS")</f>
        <v>0</v>
      </c>
      <c r="C9">
        <f>COUNTIFS(donnée!$AK:$AK,"&gt;=-0,50",donnée!$AK:$AK,"&lt;=-0,26",donnée!$DA:$DA,"AMBLYOPE")</f>
        <v>0</v>
      </c>
      <c r="D9">
        <f>COUNTIFS(donnée!$AK:$AK,"&gt;=-0,50",donnée!$AK:$AK,"&lt;=-0,26",donnée!$DA:$DA,"CHIR REF")</f>
        <v>0</v>
      </c>
      <c r="E9">
        <f>COUNTIFS(donnée!$AK:$AK,"&gt;=-0,50",donnée!$AK:$AK,"&lt;=-0,26",donnée!$DA:$DA,"DGM")</f>
        <v>0</v>
      </c>
      <c r="F9">
        <f>COUNTIFS(donnée!$AK:$AK,"&gt;=-0,50",donnée!$AK:$AK,"&lt;=-0,26",donnée!$DA:$DA,"GLAUCOME")</f>
        <v>0</v>
      </c>
      <c r="G9">
        <f>COUNTIFS(donnée!$AK:$AK,"&gt;=-0,50",donnée!$AK:$AK,"&lt;=-0,26",donnée!$DA:$DA,"GUTTATA")</f>
        <v>0</v>
      </c>
      <c r="H9">
        <f>COUNTIFS(donnée!$AK:$AK,"&gt;=-0,50",donnée!$AK:$AK,"&lt;=-0,26",donnée!$DA:$DA,"KCN")</f>
        <v>0</v>
      </c>
      <c r="I9">
        <f>COUNTIFS(donnée!$AK:$AK,"&gt;=-0,50",donnée!$AK:$AK,"&lt;=-0,26",donnée!$DA:$DA,"MYOPE F")</f>
        <v>0</v>
      </c>
    </row>
    <row r="10" spans="1:15" x14ac:dyDescent="0.2">
      <c r="A10" t="s">
        <v>66</v>
      </c>
      <c r="B10">
        <f>COUNTIFS(donnée!$AK:$AK,"&gt;=-0,75",donnée!$AK:$AK,"&lt;=-0,51",donnée!$DA:$DA,"RAS")</f>
        <v>0</v>
      </c>
      <c r="C10">
        <f>COUNTIFS(donnée!$AK:$AK,"&gt;=-0,75",donnée!$AK:$AK,"&lt;=-0,51",donnée!$DA:$DA,"AMBLYOPE")</f>
        <v>0</v>
      </c>
      <c r="D10">
        <f>COUNTIFS(donnée!$AK:$AK,"&gt;=-0,75",donnée!$AK:$AK,"&lt;=-0,51",donnée!$DA:$DA,"CHIR REF")</f>
        <v>0</v>
      </c>
      <c r="E10">
        <f>COUNTIFS(donnée!$AK:$AK,"&gt;=-0,75",donnée!$AK:$AK,"&lt;=-0,51",donnée!$DA:$DA,"DGM")</f>
        <v>0</v>
      </c>
      <c r="F10">
        <f>COUNTIFS(donnée!$AK:$AK,"&gt;=-0,75",donnée!$AK:$AK,"&lt;=-0,51",donnée!$DA:$DA,"GLAUCOME")</f>
        <v>0</v>
      </c>
      <c r="G10">
        <f>COUNTIFS(donnée!$AK:$AK,"&gt;=-0,75",donnée!$AK:$AK,"&lt;=-0,51",donnée!$DA:$DA,"GUTTATA")</f>
        <v>0</v>
      </c>
      <c r="H10">
        <f>COUNTIFS(donnée!$AK:$AK,"&gt;=-0,75",donnée!$AK:$AK,"&lt;=-0,51",donnée!$DA:$DA,"KCN")</f>
        <v>0</v>
      </c>
      <c r="I10">
        <f>COUNTIFS(donnée!$AK:$AK,"&gt;=-0,75",donnée!$AK:$AK,"&lt;=-0,51",donnée!$DA:$DA,"MYOPE F")</f>
        <v>0</v>
      </c>
    </row>
    <row r="11" spans="1:15" x14ac:dyDescent="0.2">
      <c r="A11" t="s">
        <v>67</v>
      </c>
      <c r="B11">
        <f>COUNTIFS(donnée!$AK:$AK,"&gt;=-1,0",donnée!$AK:$AK,"&lt;=-0,76",donnée!$DA:$DA,"RAS")</f>
        <v>0</v>
      </c>
      <c r="C11">
        <f>COUNTIFS(donnée!$AK:$AK,"&gt;=-1,0",donnée!$AK:$AK,"&lt;=-0,76",donnée!$DA:$DA,"AMBLYOPE")</f>
        <v>0</v>
      </c>
      <c r="D11">
        <f>COUNTIFS(donnée!$AK:$AK,"&gt;=-1,0",donnée!$AK:$AK,"&lt;=-0,76",donnée!$DA:$DA,"CHIR REF")</f>
        <v>0</v>
      </c>
      <c r="E11">
        <f>COUNTIFS(donnée!$AK:$AK,"&gt;=-1,0",donnée!$AK:$AK,"&lt;=-0,76",donnée!$DA:$DA,"DGM")</f>
        <v>0</v>
      </c>
      <c r="F11">
        <f>COUNTIFS(donnée!$AK:$AK,"&gt;=-1,0",donnée!$AK:$AK,"&lt;=-0,76",donnée!$DA:$DA,"GLAUCOME")</f>
        <v>0</v>
      </c>
      <c r="G11">
        <f>COUNTIFS(donnée!$AK:$AK,"&gt;=-1,0",donnée!$AK:$AK,"&lt;=-0,76",donnée!$DA:$DA,"GUTTATA")</f>
        <v>0</v>
      </c>
      <c r="H11">
        <f>COUNTIFS(donnée!$AK:$AK,"&gt;=-1,0",donnée!$AK:$AK,"&lt;=-0,76",donnée!$DA:$DA,"KCN")</f>
        <v>0</v>
      </c>
      <c r="I11">
        <f>COUNTIFS(donnée!$AK:$AK,"&gt;=-1,0",donnée!$AK:$AK,"&lt;=-0,76",donnée!$DA:$DA,"MYOPE F")</f>
        <v>0</v>
      </c>
    </row>
    <row r="12" spans="1:15" x14ac:dyDescent="0.2">
      <c r="A12" t="s">
        <v>68</v>
      </c>
      <c r="B12">
        <f>COUNTIFS(donnée!$AK:$AK,"&lt;=-1,0",donnée!$DA:$DA,"RAS")</f>
        <v>0</v>
      </c>
      <c r="C12">
        <f>COUNTIFS(donnée!$AK:$AK,"&lt;=-1,0",donnée!$DA:$DA,"AMBLYOPE")</f>
        <v>0</v>
      </c>
      <c r="D12">
        <f>COUNTIFS(donnée!$AK:$AK,"&lt;=-1,0",donnée!$DA:$DA,"CHIR REF")</f>
        <v>0</v>
      </c>
      <c r="E12">
        <f>COUNTIFS(donnée!$AK:$AK,"&lt;=-1,0",donnée!$DA:$DA,"DGM")</f>
        <v>0</v>
      </c>
      <c r="F12">
        <f>COUNTIFS(donnée!$AK:$AK,"&lt;=-1,0",donnée!$DA:$DA,"GLAUCOME")</f>
        <v>0</v>
      </c>
      <c r="G12">
        <f>COUNTIFS(donnée!$AK:$AK,"&lt;=-1,0",donnée!$DA:$DA,"GUTTATA")</f>
        <v>0</v>
      </c>
      <c r="H12">
        <f>COUNTIFS(donnée!$AK:$AK,"&lt;=-1,0",donnée!$DA:$DA,"KCN")</f>
        <v>0</v>
      </c>
      <c r="I12">
        <f>COUNTIFS(donnée!$AK:$AK,"&lt;=-1,0",donnée!$DA:$DA,"MYOPE F")</f>
        <v>0</v>
      </c>
    </row>
  </sheetData>
  <mergeCells count="1">
    <mergeCell ref="B1:O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donnée</vt:lpstr>
      <vt:lpstr> selon formule</vt:lpstr>
      <vt:lpstr> selon Dptr et formule</vt:lpstr>
      <vt:lpstr> typ oeil  formulle</vt:lpstr>
      <vt:lpstr>type oeil formule 2</vt:lpstr>
      <vt:lpstr>ANTECEDANT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ophtalmo</dc:creator>
  <cp:lastModifiedBy>Youssef Mamlouk</cp:lastModifiedBy>
  <dcterms:created xsi:type="dcterms:W3CDTF">2025-05-12T11:55:50Z</dcterms:created>
  <dcterms:modified xsi:type="dcterms:W3CDTF">2025-11-25T19:50:00Z</dcterms:modified>
</cp:coreProperties>
</file>